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User Data" sheetId="1" state="visible" r:id="rId1"/>
    <sheet name="Dashboard States and Empty" sheetId="2" state="visible" r:id="rId2"/>
    <sheet name="Course Cards and Actions" sheetId="3" state="visible" r:id="rId3"/>
    <sheet name="Several Courses and Changes" sheetId="4" state="visible" r:id="rId4"/>
    <sheet name="Streak XP and Leaderboard" sheetId="5" state="visible" r:id="rId5"/>
    <sheet name="Resources Panel" sheetId="6" state="visible" r:id="rId6"/>
    <sheet name="Live Lobby" sheetId="7" state="visible" r:id="rId7"/>
    <sheet name="Failure and Resilience" sheetId="8" state="visible" r:id="rId8"/>
    <sheet name="Mobile Keyboard and Browsers" sheetId="9" state="visible" r:id="rId9"/>
    <sheet name="End-to-End Business-Critical" sheetId="10" state="visible" r:id="rId10"/>
    <sheet name="Traceability to Functional Requ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B7E1CD"/>
        </patternFill>
      </fill>
    </dxf>
    <dxf>
      <fill>
        <patternFill patternType="solid">
          <bgColor rgb="00F4C7C3"/>
        </patternFill>
      </fill>
    </dxf>
    <dxf>
      <fill>
        <patternFill patternType="solid">
          <bgColor rgb="00FCE8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Execution status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'Traceability to Functional Requ'!$D$3:$D$6</f>
            </numRef>
          </cat>
          <val>
            <numRef>
              <f>'Traceability to Functional Requ'!$E$3:$E$6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39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5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42" customWidth="1" min="3" max="3"/>
  </cols>
  <sheetData>
    <row r="2">
      <c r="A2" s="1" t="inlineStr">
        <is>
          <t>Test Data / User Accounts</t>
        </is>
      </c>
    </row>
    <row r="3">
      <c r="A3" s="2" t="inlineStr">
        <is>
          <t>Test Data</t>
        </is>
      </c>
      <c r="B3" s="2" t="inlineStr">
        <is>
          <t>Description</t>
        </is>
      </c>
      <c r="C3" s="2" t="inlineStr">
        <is>
          <t>User ID</t>
        </is>
      </c>
    </row>
    <row r="4">
      <c r="A4" s="3" t="inlineStr">
        <is>
          <t>V1</t>
        </is>
      </c>
      <c r="B4" s="3" t="inlineStr">
        <is>
          <t>Anonymous visitor (not signed in)</t>
        </is>
      </c>
      <c r="C4" s="3" t="inlineStr">
        <is>
          <t>NA</t>
        </is>
      </c>
    </row>
    <row r="5">
      <c r="A5" s="3" t="inlineStr">
        <is>
          <t>U1</t>
        </is>
      </c>
      <c r="B5" s="3" t="inlineStr">
        <is>
          <t>Signed-in learner with no enrolments (empty dashboard)</t>
        </is>
      </c>
      <c r="C5" s="3" t="inlineStr">
        <is>
          <t>shivamnamdev.edu@gmail.com</t>
        </is>
      </c>
    </row>
    <row r="6">
      <c r="A6" s="3" t="inlineStr">
        <is>
          <t>S1</t>
        </is>
      </c>
      <c r="B6" s="3" t="inlineStr">
        <is>
          <t>Learner enrolled in Course B only (git-beginner-batch-1, closed cohort)</t>
        </is>
      </c>
      <c r="C6" s="3" t="inlineStr">
        <is>
          <t>financetrail.bazar@gmail.com</t>
        </is>
      </c>
    </row>
    <row r="7">
      <c r="A7" s="3" t="inlineStr">
        <is>
          <t>S2</t>
        </is>
      </c>
      <c r="B7" s="3" t="inlineStr">
        <is>
          <t>Learner enrolled in Course A only (python-beginners-batch-2, closed cohort)</t>
        </is>
      </c>
      <c r="C7" s="3" t="inlineStr">
        <is>
          <t>mavish.ps8@gmail.com</t>
        </is>
      </c>
    </row>
    <row r="8">
      <c r="A8" s="3" t="inlineStr">
        <is>
          <t>M1</t>
        </is>
      </c>
      <c r="B8" s="3" t="inlineStr">
        <is>
          <t>Learner with several courses: U1 plus a temporary grant of the QA fixture course and Course C (removed after the test)</t>
        </is>
      </c>
      <c r="C8" s="3" t="inlineStr">
        <is>
          <t>shivamnamdev.edu@gmail.com</t>
        </is>
      </c>
    </row>
    <row r="9">
      <c r="A9" s="3" t="inlineStr">
        <is>
          <t>A1</t>
        </is>
      </c>
      <c r="B9" s="3" t="inlineStr">
        <is>
          <t>Admin user (not enrolled in the courses it opens)</t>
        </is>
      </c>
      <c r="C9" s="3" t="inlineStr">
        <is>
          <t>shivamnamdev.corp@gmail.com</t>
        </is>
      </c>
    </row>
    <row r="10">
      <c r="A10" s="3" t="inlineStr">
        <is>
          <t>CA</t>
        </is>
      </c>
      <c r="B10" s="3" t="inlineStr">
        <is>
          <t>Course A: Python Beginners Batch 2 (python-beginners-batch-2); live link empty today</t>
        </is>
      </c>
      <c r="C10" s="3" t="inlineStr">
        <is>
          <t>/live/python-beginners-batch-2</t>
        </is>
      </c>
    </row>
    <row r="11">
      <c r="A11" s="3" t="inlineStr">
        <is>
          <t>CB</t>
        </is>
      </c>
      <c r="B11" s="3" t="inlineStr">
        <is>
          <t>Course B: Git Beginner Live Session (git-beginner-batch-1); live link empty today</t>
        </is>
      </c>
      <c r="C11" s="3" t="inlineStr">
        <is>
          <t>/live/git-beginner-batch-1</t>
        </is>
      </c>
    </row>
    <row r="12">
      <c r="A12" s="3" t="inlineStr">
        <is>
          <t>CC</t>
        </is>
      </c>
      <c r="B12" s="3" t="inlineStr">
        <is>
          <t>Course C: python-beginners (temporary grant for multi-course tests)</t>
        </is>
      </c>
      <c r="C12" s="3" t="inlineStr">
        <is>
          <t>/learning/python-beginners</t>
        </is>
      </c>
    </row>
    <row r="13">
      <c r="A13" s="3" t="inlineStr">
        <is>
          <t>CF</t>
        </is>
      </c>
      <c r="B13" s="3" t="inlineStr">
        <is>
          <t>QA fixture course (qa-checkout-sandbox); needs a fixture live link for the 'Enter Google Meet' cases (PRD 06 TR-2)</t>
        </is>
      </c>
      <c r="C13" s="3" t="inlineStr">
        <is>
          <t>/live/qa-checkout-sandbox</t>
        </is>
      </c>
    </row>
    <row r="15">
      <c r="A15" s="4" t="inlineStr">
        <is>
          <t>Notes</t>
        </is>
      </c>
      <c r="B15" s="3" t="inlineStr">
        <is>
          <t>Clean up: every enrolment, stats or progress row a test adds is removed afterwards. Dates for streak cases are set directly in user_stats (QA project). Course A/B/C are closed cohorts; enrolled learners keep access.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DSH-STATE-001</t>
        </is>
      </c>
      <c r="B2" s="3" t="inlineStr">
        <is>
          <t>Loading state</t>
        </is>
      </c>
      <c r="C2" s="3" t="inlineStr">
        <is>
          <t>U1; enrolments request slowed 2 s</t>
        </is>
      </c>
      <c r="D2" s="3" t="inlineStr">
        <is>
          <t>1. Open /learning</t>
        </is>
      </c>
      <c r="E2" s="3" t="inlineStr">
        <is>
          <t>Spinner and 'Loading your dashboard…' with navbar and footer; no 'No courses yet!' flash</t>
        </is>
      </c>
      <c r="F2" s="3" t="inlineStr">
        <is>
          <t>P0</t>
        </is>
      </c>
      <c r="G2" s="3" t="n"/>
      <c r="H2" s="3" t="inlineStr">
        <is>
          <t>SD-01</t>
        </is>
      </c>
      <c r="I2" s="3" t="inlineStr">
        <is>
          <t>No</t>
        </is>
      </c>
    </row>
    <row r="3">
      <c r="A3" s="3" t="inlineStr">
        <is>
          <t>DSH-STATE-002</t>
        </is>
      </c>
      <c r="B3" s="3" t="inlineStr">
        <is>
          <t>Loading ends in the final state</t>
        </is>
      </c>
      <c r="C3" s="3" t="inlineStr">
        <is>
          <t>STATE-001</t>
        </is>
      </c>
      <c r="D3" s="3" t="inlineStr">
        <is>
          <t>1. Wait</t>
        </is>
      </c>
      <c r="E3" s="3" t="inlineStr">
        <is>
          <t>Spinner is replaced by the empty state (U1) or the course list</t>
        </is>
      </c>
      <c r="F3" s="3" t="inlineStr">
        <is>
          <t>P1</t>
        </is>
      </c>
      <c r="G3" s="3" t="n"/>
      <c r="H3" s="3" t="inlineStr">
        <is>
          <t>SD-01</t>
        </is>
      </c>
      <c r="I3" s="3" t="inlineStr">
        <is>
          <t>No</t>
        </is>
      </c>
    </row>
    <row r="4">
      <c r="A4" s="3" t="inlineStr">
        <is>
          <t>DSH-STATE-003</t>
        </is>
      </c>
      <c r="B4" s="3" t="inlineStr">
        <is>
          <t>Visitor cannot see the dashboard</t>
        </is>
      </c>
      <c r="C4" s="3" t="inlineStr">
        <is>
          <t>V1</t>
        </is>
      </c>
      <c r="D4" s="3" t="inlineStr">
        <is>
          <t>1. Open /learning</t>
        </is>
      </c>
      <c r="E4" s="3" t="inlineStr">
        <is>
          <t>Redirected away (sign-in or home); 'My Enrolled Courses' and 'Welcome back' never rendered</t>
        </is>
      </c>
      <c r="F4" s="3" t="inlineStr">
        <is>
          <t>P0</t>
        </is>
      </c>
      <c r="G4" s="3" t="n"/>
      <c r="H4" s="3" t="inlineStr">
        <is>
          <t>SD-02</t>
        </is>
      </c>
      <c r="I4" s="3" t="inlineStr">
        <is>
          <t>tests/ui/auth/access-control.spec.ts / route-protection.spec.ts</t>
        </is>
      </c>
    </row>
    <row r="5">
      <c r="A5" s="3" t="inlineStr">
        <is>
          <t>DSH-STATE-004</t>
        </is>
      </c>
      <c r="B5" s="3" t="inlineStr">
        <is>
          <t>Empty state for a learner with no enrolments</t>
        </is>
      </c>
      <c r="C5" s="3" t="inlineStr">
        <is>
          <t>U1 signed in</t>
        </is>
      </c>
      <c r="D5" s="3" t="inlineStr">
        <is>
          <t>1. Open /learning</t>
        </is>
      </c>
      <c r="E5" s="3" t="inlineStr">
        <is>
          <t>'No courses yet!' card with the text about not being enrolled and a Browse Catalog button</t>
        </is>
      </c>
      <c r="F5" s="3" t="inlineStr">
        <is>
          <t>P0</t>
        </is>
      </c>
      <c r="G5" s="3" t="n"/>
      <c r="H5" s="3" t="inlineStr">
        <is>
          <t>SD-03</t>
        </is>
      </c>
      <c r="I5" s="3" t="inlineStr">
        <is>
          <t>AUTH-ENR-001/002 (tests/ui/auth/access-control.spec.ts)</t>
        </is>
      </c>
    </row>
    <row r="6">
      <c r="A6" s="3" t="inlineStr">
        <is>
          <t>DSH-STATE-005</t>
        </is>
      </c>
      <c r="B6" s="3" t="inlineStr">
        <is>
          <t>Empty state has no course card and no live-class button</t>
        </is>
      </c>
      <c r="C6" s="3" t="inlineStr">
        <is>
          <t>STATE-004</t>
        </is>
      </c>
      <c r="D6" s="3" t="inlineStr">
        <is>
          <t>1. Look for cards and buttons</t>
        </is>
      </c>
      <c r="E6" s="3" t="inlineStr">
        <is>
          <t>No Join Live Class, no View Recordings, no 'Enrolled' badge</t>
        </is>
      </c>
      <c r="F6" s="3" t="inlineStr">
        <is>
          <t>P1</t>
        </is>
      </c>
      <c r="G6" s="3" t="n"/>
      <c r="H6" s="3" t="inlineStr">
        <is>
          <t>SD-05</t>
        </is>
      </c>
      <c r="I6" s="3" t="inlineStr">
        <is>
          <t>No</t>
        </is>
      </c>
    </row>
    <row r="7">
      <c r="A7" s="3" t="inlineStr">
        <is>
          <t>DSH-STATE-006</t>
        </is>
      </c>
      <c r="B7" s="3" t="inlineStr">
        <is>
          <t>Browse Catalog opens the catalog</t>
        </is>
      </c>
      <c r="C7" s="3" t="inlineStr">
        <is>
          <t>STATE-004</t>
        </is>
      </c>
      <c r="D7" s="3" t="inlineStr">
        <is>
          <t>1. Click Browse Catalog</t>
        </is>
      </c>
      <c r="E7" s="3" t="inlineStr">
        <is>
          <t>/courses opens with the course cards</t>
        </is>
      </c>
      <c r="F7" s="3" t="inlineStr">
        <is>
          <t>P0</t>
        </is>
      </c>
      <c r="G7" s="3" t="n"/>
      <c r="H7" s="3" t="inlineStr">
        <is>
          <t>SD-04</t>
        </is>
      </c>
      <c r="I7" s="3" t="inlineStr">
        <is>
          <t>No</t>
        </is>
      </c>
    </row>
    <row r="8">
      <c r="A8" s="3" t="inlineStr">
        <is>
          <t>DSH-STATE-007</t>
        </is>
      </c>
      <c r="B8" s="3" t="inlineStr">
        <is>
          <t>Resources text in the empty state</t>
        </is>
      </c>
      <c r="C8" s="3" t="inlineStr">
        <is>
          <t>STATE-004</t>
        </is>
      </c>
      <c r="D8" s="3" t="inlineStr">
        <is>
          <t>1. Look at the Resources panel</t>
        </is>
      </c>
      <c r="E8" s="3" t="inlineStr">
        <is>
          <t>'Course resources appear here once you enroll.'</t>
        </is>
      </c>
      <c r="F8" s="3" t="inlineStr">
        <is>
          <t>P1</t>
        </is>
      </c>
      <c r="G8" s="3" t="n"/>
      <c r="H8" s="3" t="inlineStr">
        <is>
          <t>SD-30</t>
        </is>
      </c>
      <c r="I8" s="3" t="inlineStr">
        <is>
          <t>No</t>
        </is>
      </c>
    </row>
    <row r="9">
      <c r="A9" s="3" t="inlineStr">
        <is>
          <t>DSH-STATE-008</t>
        </is>
      </c>
      <c r="B9" s="3" t="inlineStr">
        <is>
          <t>Welcome line uses the first name</t>
        </is>
      </c>
      <c r="C9" s="3" t="inlineStr">
        <is>
          <t>U1</t>
        </is>
      </c>
      <c r="D9" s="3" t="inlineStr">
        <is>
          <t>1. Read the heading</t>
        </is>
      </c>
      <c r="E9" s="3" t="inlineStr">
        <is>
          <t>'Welcome back, &lt;first name&gt;! 👋' (or 'Student' when no name)</t>
        </is>
      </c>
      <c r="F9" s="3" t="inlineStr">
        <is>
          <t>P1</t>
        </is>
      </c>
      <c r="G9" s="3" t="n"/>
      <c r="H9" s="3" t="inlineStr">
        <is>
          <t>SD-18</t>
        </is>
      </c>
      <c r="I9" s="3" t="inlineStr">
        <is>
          <t>No</t>
        </is>
      </c>
    </row>
    <row r="10">
      <c r="A10" s="3" t="inlineStr">
        <is>
          <t>DSH-STATE-009</t>
        </is>
      </c>
      <c r="B10" s="3" t="inlineStr">
        <is>
          <t>Query parameters do not unlock courses</t>
        </is>
      </c>
      <c r="C10" s="3" t="inlineStr">
        <is>
          <t>U1</t>
        </is>
      </c>
      <c r="D10" s="3" t="inlineStr">
        <is>
          <t>1. Open /learning?enrolled=true</t>
        </is>
      </c>
      <c r="E10" s="3" t="inlineStr">
        <is>
          <t>Still the empty state</t>
        </is>
      </c>
      <c r="F10" s="3" t="inlineStr">
        <is>
          <t>P0</t>
        </is>
      </c>
      <c r="G10" s="3" t="n"/>
      <c r="H10" s="3" t="inlineStr">
        <is>
          <t>SD-03</t>
        </is>
      </c>
      <c r="I10" s="3" t="inlineStr">
        <is>
          <t>AUTH-ENR-001 (tests/ui/auth/access-control.spec.ts)</t>
        </is>
      </c>
    </row>
    <row r="11">
      <c r="A11" s="3" t="inlineStr">
        <is>
          <t>DSH-STATE-010</t>
        </is>
      </c>
      <c r="B11" s="3" t="inlineStr">
        <is>
          <t>Dashboard after sign-out and back</t>
        </is>
      </c>
      <c r="C11" s="3" t="inlineStr">
        <is>
          <t>S1</t>
        </is>
      </c>
      <c r="D11" s="3" t="inlineStr">
        <is>
          <t>1. Sign out 2. Open /learning</t>
        </is>
      </c>
      <c r="E11" s="3" t="inlineStr">
        <is>
          <t>Visitor behaviour (STATE-003); no cached courses shown</t>
        </is>
      </c>
      <c r="F11" s="3" t="inlineStr">
        <is>
          <t>P0</t>
        </is>
      </c>
      <c r="G11" s="3" t="n"/>
      <c r="H11" s="3" t="inlineStr">
        <is>
          <t>SD-02</t>
        </is>
      </c>
      <c r="I11" s="3" t="inlineStr">
        <is>
          <t>No</t>
        </is>
      </c>
    </row>
    <row r="12">
      <c r="F12" s="4" t="inlineStr">
        <is>
          <t>Coverage</t>
        </is>
      </c>
      <c r="G12" s="6">
        <f>IF(COUNTA(A2:A11)=0,0,(COUNTIF(G2:G11,"Passed")+COUNTIF(G2:G11,"Failed")+COUNTIF(G2:G11,"NA"))/COUNTA(A2:A11))</f>
        <v/>
      </c>
    </row>
  </sheetData>
  <conditionalFormatting sqref="G2:G1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1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DSH-CARD-001</t>
        </is>
      </c>
      <c r="B2" s="3" t="inlineStr">
        <is>
          <t>Course A learner sees only Course A</t>
        </is>
      </c>
      <c r="C2" s="3" t="inlineStr">
        <is>
          <t>S2</t>
        </is>
      </c>
      <c r="D2" s="3" t="inlineStr">
        <is>
          <t>1. Open /learning</t>
        </is>
      </c>
      <c r="E2" s="3" t="inlineStr">
        <is>
          <t>One card 'Python Beginners Batch 2'; no Git card</t>
        </is>
      </c>
      <c r="F2" s="3" t="inlineStr">
        <is>
          <t>P0</t>
        </is>
      </c>
      <c r="G2" s="3" t="n"/>
      <c r="H2" s="3" t="inlineStr">
        <is>
          <t>SD-06</t>
        </is>
      </c>
      <c r="I2" s="3" t="inlineStr">
        <is>
          <t>AUTH-COURSE (tests/ui/auth/access-control.spec.ts)</t>
        </is>
      </c>
    </row>
    <row r="3">
      <c r="A3" s="3" t="inlineStr">
        <is>
          <t>DSH-CARD-002</t>
        </is>
      </c>
      <c r="B3" s="3" t="inlineStr">
        <is>
          <t>Course B learner sees only Course B</t>
        </is>
      </c>
      <c r="C3" s="3" t="inlineStr">
        <is>
          <t>S1</t>
        </is>
      </c>
      <c r="D3" s="3" t="inlineStr">
        <is>
          <t>1. Open /learning</t>
        </is>
      </c>
      <c r="E3" s="3" t="inlineStr">
        <is>
          <t>One card 'Git Beginner Live Session'; no Python card</t>
        </is>
      </c>
      <c r="F3" s="3" t="inlineStr">
        <is>
          <t>P0</t>
        </is>
      </c>
      <c r="G3" s="3" t="n"/>
      <c r="H3" s="3" t="inlineStr">
        <is>
          <t>SD-07</t>
        </is>
      </c>
      <c r="I3" s="3" t="inlineStr">
        <is>
          <t>AUTH-COURSE (tests/ui/auth/access-control.spec.ts)</t>
        </is>
      </c>
    </row>
    <row r="4">
      <c r="A4" s="3" t="inlineStr">
        <is>
          <t>DSH-CARD-003</t>
        </is>
      </c>
      <c r="B4" s="3" t="inlineStr">
        <is>
          <t>Card content</t>
        </is>
      </c>
      <c r="C4" s="3" t="inlineStr">
        <is>
          <t>S2</t>
        </is>
      </c>
      <c r="D4" s="3" t="inlineStr">
        <is>
          <t>1. Read the card</t>
        </is>
      </c>
      <c r="E4" s="3" t="inlineStr">
        <is>
          <t>Title, 'Enrolled' badge, 'Active Access' badge, text 'Your learning materials and lab access are fully unlocked.', two buttons</t>
        </is>
      </c>
      <c r="F4" s="3" t="inlineStr">
        <is>
          <t>P0</t>
        </is>
      </c>
      <c r="G4" s="3" t="n"/>
      <c r="H4" s="3" t="inlineStr">
        <is>
          <t>SD-08</t>
        </is>
      </c>
      <c r="I4" s="3" t="inlineStr">
        <is>
          <t>No</t>
        </is>
      </c>
    </row>
    <row r="5">
      <c r="A5" s="3" t="inlineStr">
        <is>
          <t>DSH-CARD-004</t>
        </is>
      </c>
      <c r="B5" s="3" t="inlineStr">
        <is>
          <t>Join Live Class opens the lobby of that course</t>
        </is>
      </c>
      <c r="C5" s="3" t="inlineStr">
        <is>
          <t>S2</t>
        </is>
      </c>
      <c r="D5" s="3" t="inlineStr">
        <is>
          <t>1. Click Join Live Class</t>
        </is>
      </c>
      <c r="E5" s="3" t="inlineStr">
        <is>
          <t>URL is /live/python-beginners-batch-2</t>
        </is>
      </c>
      <c r="F5" s="3" t="inlineStr">
        <is>
          <t>P0</t>
        </is>
      </c>
      <c r="G5" s="3" t="n"/>
      <c r="H5" s="3" t="inlineStr">
        <is>
          <t>SD-09</t>
        </is>
      </c>
      <c r="I5" s="3" t="inlineStr">
        <is>
          <t>No</t>
        </is>
      </c>
    </row>
    <row r="6">
      <c r="A6" s="3" t="inlineStr">
        <is>
          <t>DSH-CARD-005</t>
        </is>
      </c>
      <c r="B6" s="3" t="inlineStr">
        <is>
          <t>View Recordings opens the player of that course</t>
        </is>
      </c>
      <c r="C6" s="3" t="inlineStr">
        <is>
          <t>S2</t>
        </is>
      </c>
      <c r="D6" s="3" t="inlineStr">
        <is>
          <t>1. Click View Recordings</t>
        </is>
      </c>
      <c r="E6" s="3" t="inlineStr">
        <is>
          <t>URL is /learning/python-beginners-batch-2 and the player loads</t>
        </is>
      </c>
      <c r="F6" s="3" t="inlineStr">
        <is>
          <t>P0</t>
        </is>
      </c>
      <c r="G6" s="3" t="n"/>
      <c r="H6" s="3" t="inlineStr">
        <is>
          <t>SD-10</t>
        </is>
      </c>
      <c r="I6" s="3" t="inlineStr">
        <is>
          <t>No</t>
        </is>
      </c>
    </row>
    <row r="7">
      <c r="A7" s="3" t="inlineStr">
        <is>
          <t>DSH-CARD-006</t>
        </is>
      </c>
      <c r="B7" s="3" t="inlineStr">
        <is>
          <t>Closed cohort still listed for its learner</t>
        </is>
      </c>
      <c r="C7" s="3" t="inlineStr">
        <is>
          <t>S1 (Course B is closed)</t>
        </is>
      </c>
      <c r="D7" s="3" t="inlineStr">
        <is>
          <t>1. Open /learning</t>
        </is>
      </c>
      <c r="E7" s="3" t="inlineStr">
        <is>
          <t>Card is shown with full access</t>
        </is>
      </c>
      <c r="F7" s="3" t="inlineStr">
        <is>
          <t>P0</t>
        </is>
      </c>
      <c r="G7" s="3" t="n"/>
      <c r="H7" s="3" t="inlineStr">
        <is>
          <t>SD-16</t>
        </is>
      </c>
      <c r="I7" s="3" t="inlineStr">
        <is>
          <t>AUTH-COURSE (tests/ui/auth/access-control.spec.ts)</t>
        </is>
      </c>
    </row>
    <row r="8">
      <c r="A8" s="3" t="inlineStr">
        <is>
          <t>DSH-CARD-007</t>
        </is>
      </c>
      <c r="B8" s="3" t="inlineStr">
        <is>
          <t>Card for each learner uses that learner's slug</t>
        </is>
      </c>
      <c r="C8" s="3" t="inlineStr">
        <is>
          <t>S1 and S2</t>
        </is>
      </c>
      <c r="D8" s="3" t="inlineStr">
        <is>
          <t>1. Compare both dashboards</t>
        </is>
      </c>
      <c r="E8" s="3" t="inlineStr">
        <is>
          <t>Buttons point to different slugs; no cross-over</t>
        </is>
      </c>
      <c r="F8" s="3" t="inlineStr">
        <is>
          <t>P0</t>
        </is>
      </c>
      <c r="G8" s="3" t="n"/>
      <c r="H8" s="3" t="inlineStr">
        <is>
          <t>SD-09/10</t>
        </is>
      </c>
      <c r="I8" s="3" t="inlineStr">
        <is>
          <t>No</t>
        </is>
      </c>
    </row>
    <row r="9">
      <c r="A9" s="3" t="inlineStr">
        <is>
          <t>DSH-CARD-008</t>
        </is>
      </c>
      <c r="B9" s="3" t="inlineStr">
        <is>
          <t>Unknown slug in enrolments is ignored</t>
        </is>
      </c>
      <c r="C9" s="3" t="inlineStr">
        <is>
          <t>U1 with a row for a course that does not exist</t>
        </is>
      </c>
      <c r="D9" s="3" t="inlineStr">
        <is>
          <t>1. Open /learning</t>
        </is>
      </c>
      <c r="E9" s="3" t="inlineStr">
        <is>
          <t>Empty state or the valid cards only; no error</t>
        </is>
      </c>
      <c r="F9" s="3" t="inlineStr">
        <is>
          <t>P1</t>
        </is>
      </c>
      <c r="G9" s="3" t="n"/>
      <c r="H9" s="3" t="inlineStr">
        <is>
          <t>SD-15</t>
        </is>
      </c>
      <c r="I9" s="3" t="inlineStr">
        <is>
          <t>No</t>
        </is>
      </c>
    </row>
    <row r="10">
      <c r="A10" s="3" t="inlineStr">
        <is>
          <t>DSH-CARD-009</t>
        </is>
      </c>
      <c r="B10" s="3" t="inlineStr">
        <is>
          <t>Admin sees only their own enrolments</t>
        </is>
      </c>
      <c r="C10" s="3" t="inlineStr">
        <is>
          <t>A1</t>
        </is>
      </c>
      <c r="D10" s="3" t="inlineStr">
        <is>
          <t>1. Open /learning</t>
        </is>
      </c>
      <c r="E10" s="3" t="inlineStr">
        <is>
          <t>No extra cards for courses the admin is not enrolled in (empty state if none)</t>
        </is>
      </c>
      <c r="F10" s="3" t="inlineStr">
        <is>
          <t>P1</t>
        </is>
      </c>
      <c r="G10" s="3" t="n"/>
      <c r="H10" s="3" t="inlineStr">
        <is>
          <t>SD-17</t>
        </is>
      </c>
      <c r="I10" s="3" t="inlineStr">
        <is>
          <t>No</t>
        </is>
      </c>
    </row>
    <row r="11">
      <c r="A11" s="3" t="inlineStr">
        <is>
          <t>DSH-CARD-010</t>
        </is>
      </c>
      <c r="B11" s="3" t="inlineStr">
        <is>
          <t>Double-click on Join Live Class</t>
        </is>
      </c>
      <c r="C11" s="3" t="inlineStr">
        <is>
          <t>S2</t>
        </is>
      </c>
      <c r="D11" s="3" t="inlineStr">
        <is>
          <t>1. Double-click</t>
        </is>
      </c>
      <c r="E11" s="3" t="inlineStr">
        <is>
          <t>One navigation to the lobby</t>
        </is>
      </c>
      <c r="F11" s="3" t="inlineStr">
        <is>
          <t>P2</t>
        </is>
      </c>
      <c r="G11" s="3" t="n"/>
      <c r="H11" s="3" t="inlineStr">
        <is>
          <t>SD-09</t>
        </is>
      </c>
      <c r="I11" s="3" t="inlineStr">
        <is>
          <t>No</t>
        </is>
      </c>
    </row>
    <row r="12">
      <c r="A12" s="3" t="inlineStr">
        <is>
          <t>DSH-CARD-011</t>
        </is>
      </c>
      <c r="B12" s="3" t="inlineStr">
        <is>
          <t>Back from the lobby</t>
        </is>
      </c>
      <c r="C12" s="3" t="inlineStr">
        <is>
          <t>CARD-004</t>
        </is>
      </c>
      <c r="D12" s="3" t="inlineStr">
        <is>
          <t>1. Press Back</t>
        </is>
      </c>
      <c r="E12" s="3" t="inlineStr">
        <is>
          <t>Dashboard shows again with the same list</t>
        </is>
      </c>
      <c r="F12" s="3" t="inlineStr">
        <is>
          <t>P1</t>
        </is>
      </c>
      <c r="G12" s="3" t="n"/>
      <c r="H12" s="3" t="inlineStr">
        <is>
          <t>SD-14</t>
        </is>
      </c>
      <c r="I12" s="3" t="inlineStr">
        <is>
          <t>No</t>
        </is>
      </c>
    </row>
    <row r="13">
      <c r="F13" s="4" t="inlineStr">
        <is>
          <t>Coverage</t>
        </is>
      </c>
      <c r="G13" s="6">
        <f>IF(COUNTA(A2:A12)=0,0,(COUNTIF(G2:G12,"Passed")+COUNTIF(G2:G12,"Failed")+COUNTIF(G2:G12,"NA"))/COUNTA(A2:A12))</f>
        <v/>
      </c>
    </row>
  </sheetData>
  <conditionalFormatting sqref="G2:G1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2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DSH-CHG-001</t>
        </is>
      </c>
      <c r="B2" s="3" t="inlineStr">
        <is>
          <t>Two courses show two cards</t>
        </is>
      </c>
      <c r="C2" s="3" t="inlineStr">
        <is>
          <t>M1 (fixture + Course C granted)</t>
        </is>
      </c>
      <c r="D2" s="3" t="inlineStr">
        <is>
          <t>1. Open /learning</t>
        </is>
      </c>
      <c r="E2" s="3" t="inlineStr">
        <is>
          <t>Two cards, each with its own title</t>
        </is>
      </c>
      <c r="F2" s="3" t="inlineStr">
        <is>
          <t>P0</t>
        </is>
      </c>
      <c r="G2" s="3" t="n"/>
      <c r="H2" s="3" t="inlineStr">
        <is>
          <t>SD-11</t>
        </is>
      </c>
      <c r="I2" s="3" t="inlineStr">
        <is>
          <t>No</t>
        </is>
      </c>
    </row>
    <row r="3">
      <c r="A3" s="3" t="inlineStr">
        <is>
          <t>DSH-CHG-002</t>
        </is>
      </c>
      <c r="B3" s="3" t="inlineStr">
        <is>
          <t>Each card links to its own course</t>
        </is>
      </c>
      <c r="C3" s="3" t="inlineStr">
        <is>
          <t>CHG-001</t>
        </is>
      </c>
      <c r="D3" s="3" t="inlineStr">
        <is>
          <t>1. Click Join Live Class on card 1, go back, then on card 2</t>
        </is>
      </c>
      <c r="E3" s="3" t="inlineStr">
        <is>
          <t>Each opens /live/&lt;its own slug&gt;</t>
        </is>
      </c>
      <c r="F3" s="3" t="inlineStr">
        <is>
          <t>P0</t>
        </is>
      </c>
      <c r="G3" s="3" t="n"/>
      <c r="H3" s="3" t="inlineStr">
        <is>
          <t>SD-11</t>
        </is>
      </c>
      <c r="I3" s="3" t="inlineStr">
        <is>
          <t>No</t>
        </is>
      </c>
    </row>
    <row r="4">
      <c r="A4" s="3" t="inlineStr">
        <is>
          <t>DSH-CHG-003</t>
        </is>
      </c>
      <c r="B4" s="3" t="inlineStr">
        <is>
          <t>View Recordings on each card</t>
        </is>
      </c>
      <c r="C4" s="3" t="inlineStr">
        <is>
          <t>CHG-001</t>
        </is>
      </c>
      <c r="D4" s="3" t="inlineStr">
        <is>
          <t>1. Click View Recordings on each</t>
        </is>
      </c>
      <c r="E4" s="3" t="inlineStr">
        <is>
          <t>Each opens /learning/&lt;its own slug&gt;</t>
        </is>
      </c>
      <c r="F4" s="3" t="inlineStr">
        <is>
          <t>P1</t>
        </is>
      </c>
      <c r="G4" s="3" t="n"/>
      <c r="H4" s="3" t="inlineStr">
        <is>
          <t>SD-11</t>
        </is>
      </c>
      <c r="I4" s="3" t="inlineStr">
        <is>
          <t>No</t>
        </is>
      </c>
    </row>
    <row r="5">
      <c r="A5" s="3" t="inlineStr">
        <is>
          <t>DSH-CHG-004</t>
        </is>
      </c>
      <c r="B5" s="3" t="inlineStr">
        <is>
          <t>Newly enrolled course appears on the next load</t>
        </is>
      </c>
      <c r="C5" s="3" t="inlineStr">
        <is>
          <t>U1 (empty); grant the fixture course</t>
        </is>
      </c>
      <c r="D5" s="3" t="inlineStr">
        <is>
          <t>1. Reload /learning</t>
        </is>
      </c>
      <c r="E5" s="3" t="inlineStr">
        <is>
          <t>The new card appears</t>
        </is>
      </c>
      <c r="F5" s="3" t="inlineStr">
        <is>
          <t>P0</t>
        </is>
      </c>
      <c r="G5" s="3" t="n"/>
      <c r="H5" s="3" t="inlineStr">
        <is>
          <t>SD-12</t>
        </is>
      </c>
      <c r="I5" s="3" t="inlineStr">
        <is>
          <t>enrolment change (tests/ui/auth/access-control.spec.ts)</t>
        </is>
      </c>
    </row>
    <row r="6">
      <c r="A6" s="3" t="inlineStr">
        <is>
          <t>DSH-CHG-005</t>
        </is>
      </c>
      <c r="B6" s="3" t="inlineStr">
        <is>
          <t>Course appears after a free enrolment</t>
        </is>
      </c>
      <c r="C6" s="3" t="inlineStr">
        <is>
          <t>U1; complete a free enrolment (PRD 05)</t>
        </is>
      </c>
      <c r="D6" s="3" t="inlineStr">
        <is>
          <t>1. Click Go to Dashboard</t>
        </is>
      </c>
      <c r="E6" s="3" t="inlineStr">
        <is>
          <t>New card visible</t>
        </is>
      </c>
      <c r="F6" s="3" t="inlineStr">
        <is>
          <t>P0</t>
        </is>
      </c>
      <c r="G6" s="3" t="n"/>
      <c r="H6" s="3" t="inlineStr">
        <is>
          <t>SD-42</t>
        </is>
      </c>
      <c r="I6" s="3" t="inlineStr">
        <is>
          <t>tests/ui/discovery/checkout-real-db.spec.ts</t>
        </is>
      </c>
    </row>
    <row r="7">
      <c r="A7" s="3" t="inlineStr">
        <is>
          <t>DSH-CHG-006</t>
        </is>
      </c>
      <c r="B7" s="3" t="inlineStr">
        <is>
          <t>Course appears after a paid purchase</t>
        </is>
      </c>
      <c r="C7" s="3" t="inlineStr">
        <is>
          <t>U1; complete a purchase (PRD 04, mocked or test mode)</t>
        </is>
      </c>
      <c r="D7" s="3" t="inlineStr">
        <is>
          <t>1. Click Go to Dashboard</t>
        </is>
      </c>
      <c r="E7" s="3" t="inlineStr">
        <is>
          <t>New card visible</t>
        </is>
      </c>
      <c r="F7" s="3" t="inlineStr">
        <is>
          <t>P0</t>
        </is>
      </c>
      <c r="G7" s="3" t="n"/>
      <c r="H7" s="3" t="inlineStr">
        <is>
          <t>SD-42</t>
        </is>
      </c>
      <c r="I7" s="3" t="inlineStr">
        <is>
          <t>checkout-real-gateway.spec.ts (opt-in)</t>
        </is>
      </c>
    </row>
    <row r="8">
      <c r="A8" s="3" t="inlineStr">
        <is>
          <t>DSH-CHG-007</t>
        </is>
      </c>
      <c r="B8" s="3" t="inlineStr">
        <is>
          <t>Revoked course disappears</t>
        </is>
      </c>
      <c r="C8" s="3" t="inlineStr">
        <is>
          <t>M1; remove the fixture enrolment</t>
        </is>
      </c>
      <c r="D8" s="3" t="inlineStr">
        <is>
          <t>1. Reload</t>
        </is>
      </c>
      <c r="E8" s="3" t="inlineStr">
        <is>
          <t>Only Course C card remains</t>
        </is>
      </c>
      <c r="F8" s="3" t="inlineStr">
        <is>
          <t>P0</t>
        </is>
      </c>
      <c r="G8" s="3" t="n"/>
      <c r="H8" s="3" t="inlineStr">
        <is>
          <t>SD-13</t>
        </is>
      </c>
      <c r="I8" s="3" t="inlineStr">
        <is>
          <t>enrolment change (tests/ui/auth/access-control.spec.ts)</t>
        </is>
      </c>
    </row>
    <row r="9">
      <c r="A9" s="3" t="inlineStr">
        <is>
          <t>DSH-CHG-008</t>
        </is>
      </c>
      <c r="B9" s="3" t="inlineStr">
        <is>
          <t>Lobby of a revoked course is denied</t>
        </is>
      </c>
      <c r="C9" s="3" t="inlineStr">
        <is>
          <t>CHG-007</t>
        </is>
      </c>
      <c r="D9" s="3" t="inlineStr">
        <is>
          <t>1. Open /live/qa-checkout-sandbox</t>
        </is>
      </c>
      <c r="E9" s="3" t="inlineStr">
        <is>
          <t>Access Denied</t>
        </is>
      </c>
      <c r="F9" s="3" t="inlineStr">
        <is>
          <t>P0</t>
        </is>
      </c>
      <c r="G9" s="3" t="n"/>
      <c r="H9" s="3" t="inlineStr">
        <is>
          <t>SD-13</t>
        </is>
      </c>
      <c r="I9" s="3" t="inlineStr">
        <is>
          <t>No</t>
        </is>
      </c>
    </row>
    <row r="10">
      <c r="A10" s="3" t="inlineStr">
        <is>
          <t>DSH-CHG-009</t>
        </is>
      </c>
      <c r="B10" s="3" t="inlineStr">
        <is>
          <t>Refresh keeps the list</t>
        </is>
      </c>
      <c r="C10" s="3" t="inlineStr">
        <is>
          <t>S2</t>
        </is>
      </c>
      <c r="D10" s="3" t="inlineStr">
        <is>
          <t>1. Press F5</t>
        </is>
      </c>
      <c r="E10" s="3" t="inlineStr">
        <is>
          <t>Same list</t>
        </is>
      </c>
      <c r="F10" s="3" t="inlineStr">
        <is>
          <t>P1</t>
        </is>
      </c>
      <c r="G10" s="3" t="n"/>
      <c r="H10" s="3" t="inlineStr">
        <is>
          <t>SD-14</t>
        </is>
      </c>
      <c r="I10" s="3" t="inlineStr">
        <is>
          <t>No</t>
        </is>
      </c>
    </row>
    <row r="11">
      <c r="A11" s="3" t="inlineStr">
        <is>
          <t>DSH-CHG-010</t>
        </is>
      </c>
      <c r="B11" s="3" t="inlineStr">
        <is>
          <t>Order of cards follows the catalog</t>
        </is>
      </c>
      <c r="C11" s="3" t="inlineStr">
        <is>
          <t>M1</t>
        </is>
      </c>
      <c r="D11" s="3" t="inlineStr">
        <is>
          <t>1. Compare with data/courses.ts</t>
        </is>
      </c>
      <c r="E11" s="3" t="inlineStr">
        <is>
          <t>Same order as the catalog</t>
        </is>
      </c>
      <c r="F11" s="3" t="inlineStr">
        <is>
          <t>P2</t>
        </is>
      </c>
      <c r="G11" s="3" t="n"/>
      <c r="H11" s="3" t="inlineStr">
        <is>
          <t>SD-11</t>
        </is>
      </c>
      <c r="I11" s="3" t="inlineStr">
        <is>
          <t>No</t>
        </is>
      </c>
    </row>
    <row r="12">
      <c r="F12" s="4" t="inlineStr">
        <is>
          <t>Coverage</t>
        </is>
      </c>
      <c r="G12" s="6">
        <f>IF(COUNTA(A2:A11)=0,0,(COUNTIF(G2:G11,"Passed")+COUNTIF(G2:G11,"Failed")+COUNTIF(G2:G11,"NA"))/COUNTA(A2:A11))</f>
        <v/>
      </c>
    </row>
  </sheetData>
  <conditionalFormatting sqref="G2:G1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1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DSH-STAT-001</t>
        </is>
      </c>
      <c r="B2" s="3" t="inlineStr">
        <is>
          <t>First visit creates the stats row with streak 1</t>
        </is>
      </c>
      <c r="C2" s="3" t="inlineStr">
        <is>
          <t>U1; no user_stats row</t>
        </is>
      </c>
      <c r="D2" s="3" t="inlineStr">
        <is>
          <t>1. Open /learning</t>
        </is>
      </c>
      <c r="E2" s="3" t="inlineStr">
        <is>
          <t>Streak widget shows 1; a user_stats row exists with XP 0</t>
        </is>
      </c>
      <c r="F2" s="3" t="inlineStr">
        <is>
          <t>P1</t>
        </is>
      </c>
      <c r="G2" s="3" t="n"/>
      <c r="H2" s="3" t="inlineStr">
        <is>
          <t>SD-19</t>
        </is>
      </c>
      <c r="I2" s="3" t="inlineStr">
        <is>
          <t>No</t>
        </is>
      </c>
    </row>
    <row r="3">
      <c r="A3" s="3" t="inlineStr">
        <is>
          <t>DSH-STAT-002</t>
        </is>
      </c>
      <c r="B3" s="3" t="inlineStr">
        <is>
          <t>Visit on the next day increments the streak</t>
        </is>
      </c>
      <c r="C3" s="3" t="inlineStr">
        <is>
          <t>last_active_date = yesterday, streak 3</t>
        </is>
      </c>
      <c r="D3" s="3" t="inlineStr">
        <is>
          <t>1. Open /learning</t>
        </is>
      </c>
      <c r="E3" s="3" t="inlineStr">
        <is>
          <t>Streak shows 4; last_active_date is today</t>
        </is>
      </c>
      <c r="F3" s="3" t="inlineStr">
        <is>
          <t>P1</t>
        </is>
      </c>
      <c r="G3" s="3" t="n"/>
      <c r="H3" s="3" t="inlineStr">
        <is>
          <t>SD-20</t>
        </is>
      </c>
      <c r="I3" s="3" t="inlineStr">
        <is>
          <t>No</t>
        </is>
      </c>
    </row>
    <row r="4">
      <c r="A4" s="3" t="inlineStr">
        <is>
          <t>DSH-STAT-003</t>
        </is>
      </c>
      <c r="B4" s="3" t="inlineStr">
        <is>
          <t>A gap resets the streak</t>
        </is>
      </c>
      <c r="C4" s="3" t="inlineStr">
        <is>
          <t>last_active_date = 3 days ago, streak 5</t>
        </is>
      </c>
      <c r="D4" s="3" t="inlineStr">
        <is>
          <t>1. Open /learning</t>
        </is>
      </c>
      <c r="E4" s="3" t="inlineStr">
        <is>
          <t>Streak shows 1</t>
        </is>
      </c>
      <c r="F4" s="3" t="inlineStr">
        <is>
          <t>P1</t>
        </is>
      </c>
      <c r="G4" s="3" t="n"/>
      <c r="H4" s="3" t="inlineStr">
        <is>
          <t>SD-21</t>
        </is>
      </c>
      <c r="I4" s="3" t="inlineStr">
        <is>
          <t>No</t>
        </is>
      </c>
    </row>
    <row r="5">
      <c r="A5" s="3" t="inlineStr">
        <is>
          <t>DSH-STAT-004</t>
        </is>
      </c>
      <c r="B5" s="3" t="inlineStr">
        <is>
          <t>Second visit on the same day changes nothing</t>
        </is>
      </c>
      <c r="C5" s="3" t="inlineStr">
        <is>
          <t>STAT-002 done</t>
        </is>
      </c>
      <c r="D5" s="3" t="inlineStr">
        <is>
          <t>1. Reload</t>
        </is>
      </c>
      <c r="E5" s="3" t="inlineStr">
        <is>
          <t>Streak unchanged</t>
        </is>
      </c>
      <c r="F5" s="3" t="inlineStr">
        <is>
          <t>P1</t>
        </is>
      </c>
      <c r="G5" s="3" t="n"/>
      <c r="H5" s="3" t="inlineStr">
        <is>
          <t>SD-22</t>
        </is>
      </c>
      <c r="I5" s="3" t="inlineStr">
        <is>
          <t>No</t>
        </is>
      </c>
    </row>
    <row r="6">
      <c r="A6" s="3" t="inlineStr">
        <is>
          <t>DSH-STAT-005</t>
        </is>
      </c>
      <c r="B6" s="3" t="inlineStr">
        <is>
          <t>Total XP equals the server value</t>
        </is>
      </c>
      <c r="C6" s="3" t="inlineStr">
        <is>
          <t>3 video_progress + 1 assignment_progress rows</t>
        </is>
      </c>
      <c r="D6" s="3" t="inlineStr">
        <is>
          <t>1. Open /learning on desktop</t>
        </is>
      </c>
      <c r="E6" s="3" t="inlineStr">
        <is>
          <t>Total XP shows 80 (3 x 10 + 50)</t>
        </is>
      </c>
      <c r="F6" s="3" t="inlineStr">
        <is>
          <t>P1</t>
        </is>
      </c>
      <c r="G6" s="3" t="n"/>
      <c r="H6" s="3" t="inlineStr">
        <is>
          <t>SD-23</t>
        </is>
      </c>
      <c r="I6" s="3" t="inlineStr">
        <is>
          <t>No</t>
        </is>
      </c>
    </row>
    <row r="7">
      <c r="A7" s="3" t="inlineStr">
        <is>
          <t>DSH-STAT-006</t>
        </is>
      </c>
      <c r="B7" s="3" t="inlineStr">
        <is>
          <t>XP sync is called once per load</t>
        </is>
      </c>
      <c r="C7" s="3" t="inlineStr">
        <is>
          <t>STAT-005; network log</t>
        </is>
      </c>
      <c r="D7" s="3" t="inlineStr">
        <is>
          <t>1. Reload</t>
        </is>
      </c>
      <c r="E7" s="3" t="inlineStr">
        <is>
          <t>One POST /api/xp/sync; user_stats.total_points updated</t>
        </is>
      </c>
      <c r="F7" s="3" t="inlineStr">
        <is>
          <t>P2</t>
        </is>
      </c>
      <c r="G7" s="3" t="n"/>
      <c r="H7" s="3" t="inlineStr">
        <is>
          <t>SD-23</t>
        </is>
      </c>
      <c r="I7" s="3" t="inlineStr">
        <is>
          <t>No</t>
        </is>
      </c>
    </row>
    <row r="8">
      <c r="A8" s="3" t="inlineStr">
        <is>
          <t>DSH-STAT-007</t>
        </is>
      </c>
      <c r="B8" s="3" t="inlineStr">
        <is>
          <t>XP sync failure does not break the page</t>
        </is>
      </c>
      <c r="C8" s="3" t="inlineStr">
        <is>
          <t>/api/xp/sync forced to 500</t>
        </is>
      </c>
      <c r="D8" s="3" t="inlineStr">
        <is>
          <t>1. Open /learning</t>
        </is>
      </c>
      <c r="E8" s="3" t="inlineStr">
        <is>
          <t>Cards and streak render; XP keeps the last stored value</t>
        </is>
      </c>
      <c r="F8" s="3" t="inlineStr">
        <is>
          <t>P1</t>
        </is>
      </c>
      <c r="G8" s="3" t="n"/>
      <c r="H8" s="3" t="inlineStr">
        <is>
          <t>SD-24</t>
        </is>
      </c>
      <c r="I8" s="3" t="inlineStr">
        <is>
          <t>No</t>
        </is>
      </c>
    </row>
    <row r="9">
      <c r="A9" s="3" t="inlineStr">
        <is>
          <t>DSH-STAT-008</t>
        </is>
      </c>
      <c r="B9" s="3" t="inlineStr">
        <is>
          <t>Stats request failure keeps the cards</t>
        </is>
      </c>
      <c r="C9" s="3" t="inlineStr">
        <is>
          <t>user_stats request forced to 500</t>
        </is>
      </c>
      <c r="D9" s="3" t="inlineStr">
        <is>
          <t>1. Open /learning</t>
        </is>
      </c>
      <c r="E9" s="3" t="inlineStr">
        <is>
          <t>Cards render; streak 0 or default; no crash</t>
        </is>
      </c>
      <c r="F9" s="3" t="inlineStr">
        <is>
          <t>P1</t>
        </is>
      </c>
      <c r="G9" s="3" t="n"/>
      <c r="H9" s="3" t="inlineStr">
        <is>
          <t>SD-25</t>
        </is>
      </c>
      <c r="I9" s="3" t="inlineStr">
        <is>
          <t>No</t>
        </is>
      </c>
    </row>
    <row r="10">
      <c r="A10" s="3" t="inlineStr">
        <is>
          <t>DSH-STAT-009</t>
        </is>
      </c>
      <c r="B10" s="3" t="inlineStr">
        <is>
          <t>Leaderboard shows at most five learners ordered by XP</t>
        </is>
      </c>
      <c r="C10" s="3" t="inlineStr">
        <is>
          <t>7 learners with different XP</t>
        </is>
      </c>
      <c r="D10" s="3" t="inlineStr">
        <is>
          <t>1. Read the Global Leaderboard</t>
        </is>
      </c>
      <c r="E10" s="3" t="inlineStr">
        <is>
          <t>Five rows, highest XP first, medals for the top three</t>
        </is>
      </c>
      <c r="F10" s="3" t="inlineStr">
        <is>
          <t>P1</t>
        </is>
      </c>
      <c r="G10" s="3" t="n"/>
      <c r="H10" s="3" t="inlineStr">
        <is>
          <t>SD-27</t>
        </is>
      </c>
      <c r="I10" s="3" t="inlineStr">
        <is>
          <t>No</t>
        </is>
      </c>
    </row>
    <row r="11">
      <c r="A11" s="3" t="inlineStr">
        <is>
          <t>DSH-STAT-010</t>
        </is>
      </c>
      <c r="B11" s="3" t="inlineStr">
        <is>
          <t>Leaderboard hides internal accounts</t>
        </is>
      </c>
      <c r="C11" s="3" t="inlineStr">
        <is>
          <t>The four hidden accounts have the top XP</t>
        </is>
      </c>
      <c r="D11" s="3" t="inlineStr">
        <is>
          <t>1. Read the leaderboard</t>
        </is>
      </c>
      <c r="E11" s="3" t="inlineStr">
        <is>
          <t>None of the hidden accounts is shown</t>
        </is>
      </c>
      <c r="F11" s="3" t="inlineStr">
        <is>
          <t>P1</t>
        </is>
      </c>
      <c r="G11" s="3" t="n"/>
      <c r="H11" s="3" t="inlineStr">
        <is>
          <t>SD-28</t>
        </is>
      </c>
      <c r="I11" s="3" t="inlineStr">
        <is>
          <t>No</t>
        </is>
      </c>
    </row>
    <row r="12">
      <c r="A12" s="3" t="inlineStr">
        <is>
          <t>DSH-STAT-011</t>
        </is>
      </c>
      <c r="B12" s="3" t="inlineStr">
        <is>
          <t>Leaderboard shows names and XP only</t>
        </is>
      </c>
      <c r="C12" s="3" t="inlineStr">
        <is>
          <t>STAT-009</t>
        </is>
      </c>
      <c r="D12" s="3" t="inlineStr">
        <is>
          <t>1. Inspect the rows and the network response</t>
        </is>
      </c>
      <c r="E12" s="3" t="inlineStr">
        <is>
          <t>No email address is displayed (note: the response still contains emails, risk R-SD-3)</t>
        </is>
      </c>
      <c r="F12" s="3" t="inlineStr">
        <is>
          <t>P1</t>
        </is>
      </c>
      <c r="G12" s="3" t="n"/>
      <c r="H12" s="3" t="inlineStr">
        <is>
          <t>SD-28</t>
        </is>
      </c>
      <c r="I12" s="3" t="inlineStr">
        <is>
          <t>No</t>
        </is>
      </c>
    </row>
    <row r="13">
      <c r="A13" s="3" t="inlineStr">
        <is>
          <t>DSH-STAT-012</t>
        </is>
      </c>
      <c r="B13" s="3" t="inlineStr">
        <is>
          <t>Total XP block on a phone</t>
        </is>
      </c>
      <c r="C13" s="3" t="inlineStr">
        <is>
          <t>S2 on a 390 px viewport</t>
        </is>
      </c>
      <c r="D13" s="3" t="inlineStr">
        <is>
          <t>1. Open /learning</t>
        </is>
      </c>
      <c r="E13" s="3" t="inlineStr">
        <is>
          <t>Total XP is hidden below the md breakpoint (known behaviour, R-SD-8)</t>
        </is>
      </c>
      <c r="F13" s="3" t="inlineStr">
        <is>
          <t>P2</t>
        </is>
      </c>
      <c r="G13" s="3" t="n"/>
      <c r="H13" s="3" t="inlineStr">
        <is>
          <t>SD-39</t>
        </is>
      </c>
      <c r="I13" s="3" t="inlineStr">
        <is>
          <t>No</t>
        </is>
      </c>
    </row>
    <row r="14">
      <c r="F14" s="4" t="inlineStr">
        <is>
          <t>Coverage</t>
        </is>
      </c>
      <c r="G14" s="6">
        <f>IF(COUNTA(A2:A13)=0,0,(COUNTIF(G2:G13,"Passed")+COUNTIF(G2:G13,"Failed")+COUNTIF(G2:G13,"NA"))/COUNTA(A2:A13))</f>
        <v/>
      </c>
    </row>
  </sheetData>
  <conditionalFormatting sqref="G2:G13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3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DSH-RES-001</t>
        </is>
      </c>
      <c r="B2" s="3" t="inlineStr">
        <is>
          <t>Syllabus link for an owned course</t>
        </is>
      </c>
      <c r="C2" s="3" t="inlineStr">
        <is>
          <t>S1 or S2 (course with a syllabus PDF)</t>
        </is>
      </c>
      <c r="D2" s="3" t="inlineStr">
        <is>
          <t>1. Read the Resources panel</t>
        </is>
      </c>
      <c r="E2" s="3" t="inlineStr">
        <is>
          <t>'&lt;Course&gt; Syllabus' with 'PDF Document'</t>
        </is>
      </c>
      <c r="F2" s="3" t="inlineStr">
        <is>
          <t>P1</t>
        </is>
      </c>
      <c r="G2" s="3" t="n"/>
      <c r="H2" s="3" t="inlineStr">
        <is>
          <t>SD-29</t>
        </is>
      </c>
      <c r="I2" s="3" t="inlineStr">
        <is>
          <t>No</t>
        </is>
      </c>
    </row>
    <row r="3">
      <c r="A3" s="3" t="inlineStr">
        <is>
          <t>DSH-RES-002</t>
        </is>
      </c>
      <c r="B3" s="3" t="inlineStr">
        <is>
          <t>Syllabus link downloads the file</t>
        </is>
      </c>
      <c r="C3" s="3" t="inlineStr">
        <is>
          <t>RES-001</t>
        </is>
      </c>
      <c r="D3" s="3" t="inlineStr">
        <is>
          <t>1. Click the link</t>
        </is>
      </c>
      <c r="E3" s="3" t="inlineStr">
        <is>
          <t>The PDF downloads (HTTP 200, PDF content type)</t>
        </is>
      </c>
      <c r="F3" s="3" t="inlineStr">
        <is>
          <t>P1</t>
        </is>
      </c>
      <c r="G3" s="3" t="n"/>
      <c r="H3" s="3" t="inlineStr">
        <is>
          <t>SD-29</t>
        </is>
      </c>
      <c r="I3" s="3" t="inlineStr">
        <is>
          <t>No</t>
        </is>
      </c>
    </row>
    <row r="4">
      <c r="A4" s="3" t="inlineStr">
        <is>
          <t>DSH-RES-003</t>
        </is>
      </c>
      <c r="B4" s="3" t="inlineStr">
        <is>
          <t>Only owned courses are listed</t>
        </is>
      </c>
      <c r="C4" s="3" t="inlineStr">
        <is>
          <t>S2</t>
        </is>
      </c>
      <c r="D4" s="3" t="inlineStr">
        <is>
          <t>1. Read the panel</t>
        </is>
      </c>
      <c r="E4" s="3" t="inlineStr">
        <is>
          <t>No syllabus of Course B</t>
        </is>
      </c>
      <c r="F4" s="3" t="inlineStr">
        <is>
          <t>P1</t>
        </is>
      </c>
      <c r="G4" s="3" t="n"/>
      <c r="H4" s="3" t="inlineStr">
        <is>
          <t>SD-29</t>
        </is>
      </c>
      <c r="I4" s="3" t="inlineStr">
        <is>
          <t>No</t>
        </is>
      </c>
    </row>
    <row r="5">
      <c r="A5" s="3" t="inlineStr">
        <is>
          <t>DSH-RES-004</t>
        </is>
      </c>
      <c r="B5" s="3" t="inlineStr">
        <is>
          <t>Course without a syllabus adds no row</t>
        </is>
      </c>
      <c r="C5" s="3" t="inlineStr">
        <is>
          <t>Owned course with no syllabusPdf</t>
        </is>
      </c>
      <c r="D5" s="3" t="inlineStr">
        <is>
          <t>1. Read the panel</t>
        </is>
      </c>
      <c r="E5" s="3" t="inlineStr">
        <is>
          <t>No broken row; empty text if nothing else</t>
        </is>
      </c>
      <c r="F5" s="3" t="inlineStr">
        <is>
          <t>P2</t>
        </is>
      </c>
      <c r="G5" s="3" t="n"/>
      <c r="H5" s="3" t="inlineStr">
        <is>
          <t>SD-29</t>
        </is>
      </c>
      <c r="I5" s="3" t="inlineStr">
        <is>
          <t>No</t>
        </is>
      </c>
    </row>
    <row r="6">
      <c r="A6" s="3" t="inlineStr">
        <is>
          <t>DSH-RES-005</t>
        </is>
      </c>
      <c r="B6" s="3" t="inlineStr">
        <is>
          <t>Empty text when nothing is owned</t>
        </is>
      </c>
      <c r="C6" s="3" t="inlineStr">
        <is>
          <t>U1</t>
        </is>
      </c>
      <c r="D6" s="3" t="inlineStr">
        <is>
          <t>1. Read the panel</t>
        </is>
      </c>
      <c r="E6" s="3" t="inlineStr">
        <is>
          <t>'Course resources appear here once you enroll.'</t>
        </is>
      </c>
      <c r="F6" s="3" t="inlineStr">
        <is>
          <t>P1</t>
        </is>
      </c>
      <c r="G6" s="3" t="n"/>
      <c r="H6" s="3" t="inlineStr">
        <is>
          <t>SD-30</t>
        </is>
      </c>
      <c r="I6" s="3" t="inlineStr">
        <is>
          <t>No</t>
        </is>
      </c>
    </row>
    <row r="7">
      <c r="F7" s="4" t="inlineStr">
        <is>
          <t>Coverage</t>
        </is>
      </c>
      <c r="G7" s="6">
        <f>IF(COUNTA(A2:A6)=0,0,(COUNTIF(G2:G6,"Passed")+COUNTIF(G2:G6,"Failed")+COUNTIF(G2:G6,"NA"))/COUNTA(A2:A6))</f>
        <v/>
      </c>
    </row>
  </sheetData>
  <conditionalFormatting sqref="G2:G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6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DSH-LOB-001</t>
        </is>
      </c>
      <c r="B2" s="3" t="inlineStr">
        <is>
          <t>Lobby verifying state</t>
        </is>
      </c>
      <c r="C2" s="3" t="inlineStr">
        <is>
          <t>S2; enrolments request slowed</t>
        </is>
      </c>
      <c r="D2" s="3" t="inlineStr">
        <is>
          <t>1. Open /live/python-beginners-batch-2</t>
        </is>
      </c>
      <c r="E2" s="3" t="inlineStr">
        <is>
          <t>Spinner while verifying; no lobby content yet</t>
        </is>
      </c>
      <c r="F2" s="3" t="inlineStr">
        <is>
          <t>P1</t>
        </is>
      </c>
      <c r="G2" s="3" t="n"/>
      <c r="H2" s="3" t="inlineStr">
        <is>
          <t>SD-32</t>
        </is>
      </c>
      <c r="I2" s="3" t="inlineStr">
        <is>
          <t>No</t>
        </is>
      </c>
    </row>
    <row r="3">
      <c r="A3" s="3" t="inlineStr">
        <is>
          <t>DSH-LOB-002</t>
        </is>
      </c>
      <c r="B3" s="3" t="inlineStr">
        <is>
          <t>Non-enrolled learner is denied</t>
        </is>
      </c>
      <c r="C3" s="3" t="inlineStr">
        <is>
          <t>U1</t>
        </is>
      </c>
      <c r="D3" s="3" t="inlineStr">
        <is>
          <t>1. Open /live/python-beginners-batch-2</t>
        </is>
      </c>
      <c r="E3" s="3" t="inlineStr">
        <is>
          <t>'Access Denied' with the text about not being enrolled and a Return to Dashboard button</t>
        </is>
      </c>
      <c r="F3" s="3" t="inlineStr">
        <is>
          <t>P0</t>
        </is>
      </c>
      <c r="G3" s="3" t="n"/>
      <c r="H3" s="3" t="inlineStr">
        <is>
          <t>SD-31</t>
        </is>
      </c>
      <c r="I3" s="3" t="inlineStr">
        <is>
          <t>AUTH-ENR-004 (tests/ui/auth/access-control.spec.ts)</t>
        </is>
      </c>
    </row>
    <row r="4">
      <c r="A4" s="3" t="inlineStr">
        <is>
          <t>DSH-LOB-003</t>
        </is>
      </c>
      <c r="B4" s="3" t="inlineStr">
        <is>
          <t>Return to Dashboard works</t>
        </is>
      </c>
      <c r="C4" s="3" t="inlineStr">
        <is>
          <t>LOB-002</t>
        </is>
      </c>
      <c r="D4" s="3" t="inlineStr">
        <is>
          <t>1. Click Return to Dashboard</t>
        </is>
      </c>
      <c r="E4" s="3" t="inlineStr">
        <is>
          <t>/learning opens</t>
        </is>
      </c>
      <c r="F4" s="3" t="inlineStr">
        <is>
          <t>P1</t>
        </is>
      </c>
      <c r="G4" s="3" t="n"/>
      <c r="H4" s="3" t="inlineStr">
        <is>
          <t>SD-31</t>
        </is>
      </c>
      <c r="I4" s="3" t="inlineStr">
        <is>
          <t>No</t>
        </is>
      </c>
    </row>
    <row r="5">
      <c r="A5" s="3" t="inlineStr">
        <is>
          <t>DSH-LOB-004</t>
        </is>
      </c>
      <c r="B5" s="3" t="inlineStr">
        <is>
          <t>Visitor never sees lobby content</t>
        </is>
      </c>
      <c r="C5" s="3" t="inlineStr">
        <is>
          <t>V1</t>
        </is>
      </c>
      <c r="D5" s="3" t="inlineStr">
        <is>
          <t>1. Open /live/python-beginners-batch-2</t>
        </is>
      </c>
      <c r="E5" s="3" t="inlineStr">
        <is>
          <t>Redirect to sign-in or home; no lobby or Access Denied content leaks the course title</t>
        </is>
      </c>
      <c r="F5" s="3" t="inlineStr">
        <is>
          <t>P0</t>
        </is>
      </c>
      <c r="G5" s="3" t="n"/>
      <c r="H5" s="3" t="inlineStr">
        <is>
          <t>SD-31</t>
        </is>
      </c>
      <c r="I5" s="3" t="inlineStr">
        <is>
          <t>route-protection.spec.ts</t>
        </is>
      </c>
    </row>
    <row r="6">
      <c r="A6" s="3" t="inlineStr">
        <is>
          <t>DSH-LOB-005</t>
        </is>
      </c>
      <c r="B6" s="3" t="inlineStr">
        <is>
          <t>Enrolled learner, no live link configured</t>
        </is>
      </c>
      <c r="C6" s="3" t="inlineStr">
        <is>
          <t>S2 (liveLink empty)</t>
        </is>
      </c>
      <c r="D6" s="3" t="inlineStr">
        <is>
          <t>1. Open the lobby</t>
        </is>
      </c>
      <c r="E6" s="3" t="inlineStr">
        <is>
          <t>'Secure Lobby', 'Ready to join the class?', course title, 'No live link configured for this cohort yet.'</t>
        </is>
      </c>
      <c r="F6" s="3" t="inlineStr">
        <is>
          <t>P0</t>
        </is>
      </c>
      <c r="G6" s="3" t="n"/>
      <c r="H6" s="3" t="inlineStr">
        <is>
          <t>SD-33</t>
        </is>
      </c>
      <c r="I6" s="3" t="inlineStr">
        <is>
          <t>live lobby (tests/ui/auth/access-control.spec.ts)</t>
        </is>
      </c>
    </row>
    <row r="7">
      <c r="A7" s="3" t="inlineStr">
        <is>
          <t>DSH-LOB-006</t>
        </is>
      </c>
      <c r="B7" s="3" t="inlineStr">
        <is>
          <t>Enrolled learner, live link configured</t>
        </is>
      </c>
      <c r="C7" s="3" t="inlineStr">
        <is>
          <t>CF with a fixture link; M1</t>
        </is>
      </c>
      <c r="D7" s="3" t="inlineStr">
        <is>
          <t>1. Open /live/qa-checkout-sandbox</t>
        </is>
      </c>
      <c r="E7" s="3" t="inlineStr">
        <is>
          <t>'Enter Google Meet' button is shown</t>
        </is>
      </c>
      <c r="F7" s="3" t="inlineStr">
        <is>
          <t>P0</t>
        </is>
      </c>
      <c r="G7" s="3" t="n"/>
      <c r="H7" s="3" t="inlineStr">
        <is>
          <t>SD-34</t>
        </is>
      </c>
      <c r="I7" s="3" t="inlineStr">
        <is>
          <t>No</t>
        </is>
      </c>
    </row>
    <row r="8">
      <c r="A8" s="3" t="inlineStr">
        <is>
          <t>DSH-LOB-007</t>
        </is>
      </c>
      <c r="B8" s="3" t="inlineStr">
        <is>
          <t>Enter Google Meet opens a new tab</t>
        </is>
      </c>
      <c r="C8" s="3" t="inlineStr">
        <is>
          <t>LOB-006</t>
        </is>
      </c>
      <c r="D8" s="3" t="inlineStr">
        <is>
          <t>1. Click</t>
        </is>
      </c>
      <c r="E8" s="3" t="inlineStr">
        <is>
          <t>New tab with the link; rel noreferrer; dashboard tab unchanged</t>
        </is>
      </c>
      <c r="F8" s="3" t="inlineStr">
        <is>
          <t>P0</t>
        </is>
      </c>
      <c r="G8" s="3" t="n"/>
      <c r="H8" s="3" t="inlineStr">
        <is>
          <t>SD-34</t>
        </is>
      </c>
      <c r="I8" s="3" t="inlineStr">
        <is>
          <t>No</t>
        </is>
      </c>
    </row>
    <row r="9">
      <c r="A9" s="3" t="inlineStr">
        <is>
          <t>DSH-LOB-008</t>
        </is>
      </c>
      <c r="B9" s="3" t="inlineStr">
        <is>
          <t>Pre-class checklist</t>
        </is>
      </c>
      <c r="C9" s="3" t="inlineStr">
        <is>
          <t>LOB-005</t>
        </is>
      </c>
      <c r="D9" s="3" t="inlineStr">
        <is>
          <t>1. Read the checklist</t>
        </is>
      </c>
      <c r="E9" s="3" t="inlineStr">
        <is>
          <t>Four items including 'Live class recordings will be available on your dashboard by the next morning.'</t>
        </is>
      </c>
      <c r="F9" s="3" t="inlineStr">
        <is>
          <t>P2</t>
        </is>
      </c>
      <c r="G9" s="3" t="n"/>
      <c r="H9" s="3" t="inlineStr">
        <is>
          <t>SD-35</t>
        </is>
      </c>
      <c r="I9" s="3" t="inlineStr">
        <is>
          <t>No</t>
        </is>
      </c>
    </row>
    <row r="10">
      <c r="A10" s="3" t="inlineStr">
        <is>
          <t>DSH-LOB-009</t>
        </is>
      </c>
      <c r="B10" s="3" t="inlineStr">
        <is>
          <t>Dashboard back link</t>
        </is>
      </c>
      <c r="C10" s="3" t="inlineStr">
        <is>
          <t>LOB-005</t>
        </is>
      </c>
      <c r="D10" s="3" t="inlineStr">
        <is>
          <t>1. Click '&lt; Dashboard'</t>
        </is>
      </c>
      <c r="E10" s="3" t="inlineStr">
        <is>
          <t>/learning opens</t>
        </is>
      </c>
      <c r="F10" s="3" t="inlineStr">
        <is>
          <t>P1</t>
        </is>
      </c>
      <c r="G10" s="3" t="n"/>
      <c r="H10" s="3" t="inlineStr">
        <is>
          <t>SD-35</t>
        </is>
      </c>
      <c r="I10" s="3" t="inlineStr">
        <is>
          <t>No</t>
        </is>
      </c>
    </row>
    <row r="11">
      <c r="A11" s="3" t="inlineStr">
        <is>
          <t>DSH-LOB-010</t>
        </is>
      </c>
      <c r="B11" s="3" t="inlineStr">
        <is>
          <t>Admin can open any lobby</t>
        </is>
      </c>
      <c r="C11" s="3" t="inlineStr">
        <is>
          <t>A1 (not enrolled)</t>
        </is>
      </c>
      <c r="D11" s="3" t="inlineStr">
        <is>
          <t>1. Open /live/python-beginners-batch-2</t>
        </is>
      </c>
      <c r="E11" s="3" t="inlineStr">
        <is>
          <t>Secure Lobby is shown (admin backdoor)</t>
        </is>
      </c>
      <c r="F11" s="3" t="inlineStr">
        <is>
          <t>P0</t>
        </is>
      </c>
      <c r="G11" s="3" t="n"/>
      <c r="H11" s="3" t="inlineStr">
        <is>
          <t>SD-36</t>
        </is>
      </c>
      <c r="I11" s="3" t="inlineStr">
        <is>
          <t>admin (tests/ui/auth/access-control.spec.ts)</t>
        </is>
      </c>
    </row>
    <row r="12">
      <c r="A12" s="3" t="inlineStr">
        <is>
          <t>DSH-LOB-011</t>
        </is>
      </c>
      <c r="B12" s="3" t="inlineStr">
        <is>
          <t>Lookup failure shows Access Denied</t>
        </is>
      </c>
      <c r="C12" s="3" t="inlineStr">
        <is>
          <t>Enrolments request forced to 500</t>
        </is>
      </c>
      <c r="D12" s="3" t="inlineStr">
        <is>
          <t>1. Open the lobby as S2</t>
        </is>
      </c>
      <c r="E12" s="3" t="inlineStr">
        <is>
          <t>Access Denied (documents R-SD-4: the learner is told they are not enrolled)</t>
        </is>
      </c>
      <c r="F12" s="3" t="inlineStr">
        <is>
          <t>P1</t>
        </is>
      </c>
      <c r="G12" s="3" t="n"/>
      <c r="H12" s="3" t="inlineStr">
        <is>
          <t>SD-37</t>
        </is>
      </c>
      <c r="I12" s="3" t="inlineStr">
        <is>
          <t>No</t>
        </is>
      </c>
    </row>
    <row r="13">
      <c r="A13" s="3" t="inlineStr">
        <is>
          <t>DSH-LOB-012</t>
        </is>
      </c>
      <c r="B13" s="3" t="inlineStr">
        <is>
          <t>Wrong course in the URL</t>
        </is>
      </c>
      <c r="C13" s="3" t="inlineStr">
        <is>
          <t>S2</t>
        </is>
      </c>
      <c r="D13" s="3" t="inlineStr">
        <is>
          <t>1. Open /live/does-not-exist</t>
        </is>
      </c>
      <c r="E13" s="3" t="inlineStr">
        <is>
          <t>Access Denied or 404; never another course's lobby</t>
        </is>
      </c>
      <c r="F13" s="3" t="inlineStr">
        <is>
          <t>P1</t>
        </is>
      </c>
      <c r="G13" s="3" t="n"/>
      <c r="H13" s="3" t="inlineStr">
        <is>
          <t>SD-31</t>
        </is>
      </c>
      <c r="I13" s="3" t="inlineStr">
        <is>
          <t>No</t>
        </is>
      </c>
    </row>
    <row r="14">
      <c r="A14" s="3" t="inlineStr">
        <is>
          <t>DSH-LOB-013</t>
        </is>
      </c>
      <c r="B14" s="3" t="inlineStr">
        <is>
          <t>Learner of Course A cannot open the Course B lobby</t>
        </is>
      </c>
      <c r="C14" s="3" t="inlineStr">
        <is>
          <t>S2</t>
        </is>
      </c>
      <c r="D14" s="3" t="inlineStr">
        <is>
          <t>1. Open /live/git-beginner-batch-1</t>
        </is>
      </c>
      <c r="E14" s="3" t="inlineStr">
        <is>
          <t>Access Denied</t>
        </is>
      </c>
      <c r="F14" s="3" t="inlineStr">
        <is>
          <t>P0</t>
        </is>
      </c>
      <c r="G14" s="3" t="n"/>
      <c r="H14" s="3" t="inlineStr">
        <is>
          <t>SD-31</t>
        </is>
      </c>
      <c r="I14" s="3" t="inlineStr">
        <is>
          <t>AUTH-COURSE (tests/ui/auth/access-control.spec.ts)</t>
        </is>
      </c>
    </row>
    <row r="15">
      <c r="F15" s="4" t="inlineStr">
        <is>
          <t>Coverage</t>
        </is>
      </c>
      <c r="G15" s="6">
        <f>IF(COUNTA(A2:A14)=0,0,(COUNTIF(G2:G14,"Passed")+COUNTIF(G2:G14,"Failed")+COUNTIF(G2:G14,"NA"))/COUNTA(A2:A14))</f>
        <v/>
      </c>
    </row>
  </sheetData>
  <conditionalFormatting sqref="G2:G14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4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DSH-ERR-001</t>
        </is>
      </c>
      <c r="B2" s="3" t="inlineStr">
        <is>
          <t>Enrolments request fails</t>
        </is>
      </c>
      <c r="C2" s="3" t="inlineStr">
        <is>
          <t>S2; user_enrollments forced to 500</t>
        </is>
      </c>
      <c r="D2" s="3" t="inlineStr">
        <is>
          <t>1. Open /learning</t>
        </is>
      </c>
      <c r="E2" s="3" t="inlineStr">
        <is>
          <t>Page does not crash; today it shows the empty state (defect SCP-46: should show an error with retry)</t>
        </is>
      </c>
      <c r="F2" s="3" t="inlineStr">
        <is>
          <t>P0</t>
        </is>
      </c>
      <c r="G2" s="3" t="n"/>
      <c r="H2" s="3" t="inlineStr">
        <is>
          <t>SD-26</t>
        </is>
      </c>
      <c r="I2" s="3" t="inlineStr">
        <is>
          <t>No</t>
        </is>
      </c>
    </row>
    <row r="3">
      <c r="A3" s="3" t="inlineStr">
        <is>
          <t>DSH-ERR-002</t>
        </is>
      </c>
      <c r="B3" s="3" t="inlineStr">
        <is>
          <t>Recovery after the failure</t>
        </is>
      </c>
      <c r="C3" s="3" t="inlineStr">
        <is>
          <t>ERR-001</t>
        </is>
      </c>
      <c r="D3" s="3" t="inlineStr">
        <is>
          <t>1. Restore the network 2. Reload</t>
        </is>
      </c>
      <c r="E3" s="3" t="inlineStr">
        <is>
          <t>Course card returns</t>
        </is>
      </c>
      <c r="F3" s="3" t="inlineStr">
        <is>
          <t>P1</t>
        </is>
      </c>
      <c r="G3" s="3" t="n"/>
      <c r="H3" s="3" t="inlineStr">
        <is>
          <t>SD-26</t>
        </is>
      </c>
      <c r="I3" s="3" t="inlineStr">
        <is>
          <t>No</t>
        </is>
      </c>
    </row>
    <row r="4">
      <c r="A4" s="3" t="inlineStr">
        <is>
          <t>DSH-ERR-003</t>
        </is>
      </c>
      <c r="B4" s="3" t="inlineStr">
        <is>
          <t>Leaderboard request fails</t>
        </is>
      </c>
      <c r="C4" s="3" t="inlineStr">
        <is>
          <t>user_stats read forced to 500</t>
        </is>
      </c>
      <c r="D4" s="3" t="inlineStr">
        <is>
          <t>1. Open /learning</t>
        </is>
      </c>
      <c r="E4" s="3" t="inlineStr">
        <is>
          <t>Cards render; leaderboard empty; no crash</t>
        </is>
      </c>
      <c r="F4" s="3" t="inlineStr">
        <is>
          <t>P1</t>
        </is>
      </c>
      <c r="G4" s="3" t="n"/>
      <c r="H4" s="3" t="inlineStr">
        <is>
          <t>SD-25</t>
        </is>
      </c>
      <c r="I4" s="3" t="inlineStr">
        <is>
          <t>No</t>
        </is>
      </c>
    </row>
    <row r="5">
      <c r="A5" s="3" t="inlineStr">
        <is>
          <t>DSH-ERR-004</t>
        </is>
      </c>
      <c r="B5" s="3" t="inlineStr">
        <is>
          <t>No console errors on a normal load</t>
        </is>
      </c>
      <c r="C5" s="3" t="inlineStr">
        <is>
          <t>S2</t>
        </is>
      </c>
      <c r="D5" s="3" t="inlineStr">
        <is>
          <t>1. Open /learning with the console open</t>
        </is>
      </c>
      <c r="E5" s="3" t="inlineStr">
        <is>
          <t>No uncaught exceptions</t>
        </is>
      </c>
      <c r="F5" s="3" t="inlineStr">
        <is>
          <t>P1</t>
        </is>
      </c>
      <c r="G5" s="3" t="n"/>
      <c r="H5" s="3" t="inlineStr">
        <is>
          <t>SD-25</t>
        </is>
      </c>
      <c r="I5" s="3" t="inlineStr">
        <is>
          <t>No</t>
        </is>
      </c>
    </row>
    <row r="6">
      <c r="A6" s="3" t="inlineStr">
        <is>
          <t>DSH-ERR-005</t>
        </is>
      </c>
      <c r="B6" s="3" t="inlineStr">
        <is>
          <t>Session expires while the page is open</t>
        </is>
      </c>
      <c r="C6" s="3" t="inlineStr">
        <is>
          <t>S2; revoke the session</t>
        </is>
      </c>
      <c r="D6" s="3" t="inlineStr">
        <is>
          <t>1. Click Join Live Class</t>
        </is>
      </c>
      <c r="E6" s="3" t="inlineStr">
        <is>
          <t>Sign-in is requested; no stale lobby</t>
        </is>
      </c>
      <c r="F6" s="3" t="inlineStr">
        <is>
          <t>P1</t>
        </is>
      </c>
      <c r="G6" s="3" t="n"/>
      <c r="H6" s="3" t="inlineStr">
        <is>
          <t>SD-02</t>
        </is>
      </c>
      <c r="I6" s="3" t="inlineStr">
        <is>
          <t>No</t>
        </is>
      </c>
    </row>
    <row r="7">
      <c r="A7" s="3" t="inlineStr">
        <is>
          <t>DSH-ERR-006</t>
        </is>
      </c>
      <c r="B7" s="3" t="inlineStr">
        <is>
          <t>Offline then online</t>
        </is>
      </c>
      <c r="C7" s="3" t="inlineStr">
        <is>
          <t>S2</t>
        </is>
      </c>
      <c r="D7" s="3" t="inlineStr">
        <is>
          <t>1. Go offline 2. Click a button 3. Go online</t>
        </is>
      </c>
      <c r="E7" s="3" t="inlineStr">
        <is>
          <t>Page stays usable; navigation works again</t>
        </is>
      </c>
      <c r="F7" s="3" t="inlineStr">
        <is>
          <t>P2</t>
        </is>
      </c>
      <c r="G7" s="3" t="n"/>
      <c r="H7" s="3" t="inlineStr">
        <is>
          <t>SD-26</t>
        </is>
      </c>
      <c r="I7" s="3" t="inlineStr">
        <is>
          <t>No</t>
        </is>
      </c>
    </row>
    <row r="8">
      <c r="F8" s="4" t="inlineStr">
        <is>
          <t>Coverage</t>
        </is>
      </c>
      <c r="G8" s="6">
        <f>IF(COUNTA(A2:A7)=0,0,(COUNTIF(G2:G7,"Passed")+COUNTIF(G2:G7,"Failed")+COUNTIF(G2:G7,"NA"))/COUNTA(A2:A7))</f>
        <v/>
      </c>
    </row>
  </sheetData>
  <conditionalFormatting sqref="G2:G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7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DSH-MOB-001</t>
        </is>
      </c>
      <c r="B2" s="3" t="inlineStr">
        <is>
          <t>Dashboard on a 390 px phone</t>
        </is>
      </c>
      <c r="C2" s="3" t="inlineStr">
        <is>
          <t>S2 on a phone</t>
        </is>
      </c>
      <c r="D2" s="3" t="inlineStr">
        <is>
          <t>1. Open /learning</t>
        </is>
      </c>
      <c r="E2" s="3" t="inlineStr">
        <is>
          <t>Cards and buttons fully visible; no horizontal scroll</t>
        </is>
      </c>
      <c r="F2" s="3" t="inlineStr">
        <is>
          <t>P1</t>
        </is>
      </c>
      <c r="G2" s="3" t="n"/>
      <c r="H2" s="3" t="inlineStr">
        <is>
          <t>SD-38</t>
        </is>
      </c>
      <c r="I2" s="3" t="inlineStr">
        <is>
          <t>No</t>
        </is>
      </c>
    </row>
    <row r="3">
      <c r="A3" s="3" t="inlineStr">
        <is>
          <t>DSH-MOB-002</t>
        </is>
      </c>
      <c r="B3" s="3" t="inlineStr">
        <is>
          <t>Buttons are tappable</t>
        </is>
      </c>
      <c r="C3" s="3" t="inlineStr">
        <is>
          <t>MOB-001</t>
        </is>
      </c>
      <c r="D3" s="3" t="inlineStr">
        <is>
          <t>1. Tap Join Live Class and View Recordings</t>
        </is>
      </c>
      <c r="E3" s="3" t="inlineStr">
        <is>
          <t>Both navigate</t>
        </is>
      </c>
      <c r="F3" s="3" t="inlineStr">
        <is>
          <t>P1</t>
        </is>
      </c>
      <c r="G3" s="3" t="n"/>
      <c r="H3" s="3" t="inlineStr">
        <is>
          <t>SD-38</t>
        </is>
      </c>
      <c r="I3" s="3" t="inlineStr">
        <is>
          <t>No</t>
        </is>
      </c>
    </row>
    <row r="4">
      <c r="A4" s="3" t="inlineStr">
        <is>
          <t>DSH-MOB-003</t>
        </is>
      </c>
      <c r="B4" s="3" t="inlineStr">
        <is>
          <t>Stacked buttons on small screens</t>
        </is>
      </c>
      <c r="C4" s="3" t="inlineStr">
        <is>
          <t>MOB-001</t>
        </is>
      </c>
      <c r="D4" s="3" t="inlineStr">
        <is>
          <t>1. Check layout</t>
        </is>
      </c>
      <c r="E4" s="3" t="inlineStr">
        <is>
          <t>Buttons stack vertically on mobile and sit side by side on larger screens</t>
        </is>
      </c>
      <c r="F4" s="3" t="inlineStr">
        <is>
          <t>P2</t>
        </is>
      </c>
      <c r="G4" s="3" t="n"/>
      <c r="H4" s="3" t="inlineStr">
        <is>
          <t>SD-38</t>
        </is>
      </c>
      <c r="I4" s="3" t="inlineStr">
        <is>
          <t>No</t>
        </is>
      </c>
    </row>
    <row r="5">
      <c r="A5" s="3" t="inlineStr">
        <is>
          <t>DSH-MOB-004</t>
        </is>
      </c>
      <c r="B5" s="3" t="inlineStr">
        <is>
          <t>Lobby on a phone</t>
        </is>
      </c>
      <c r="C5" s="3" t="inlineStr">
        <is>
          <t>S2 on a phone</t>
        </is>
      </c>
      <c r="D5" s="3" t="inlineStr">
        <is>
          <t>1. Open the lobby</t>
        </is>
      </c>
      <c r="E5" s="3" t="inlineStr">
        <is>
          <t>Content fits; checklist readable</t>
        </is>
      </c>
      <c r="F5" s="3" t="inlineStr">
        <is>
          <t>P2</t>
        </is>
      </c>
      <c r="G5" s="3" t="n"/>
      <c r="H5" s="3" t="inlineStr">
        <is>
          <t>SD-38</t>
        </is>
      </c>
      <c r="I5" s="3" t="inlineStr">
        <is>
          <t>No</t>
        </is>
      </c>
    </row>
    <row r="6">
      <c r="A6" s="3" t="inlineStr">
        <is>
          <t>DSH-MOB-005</t>
        </is>
      </c>
      <c r="B6" s="3" t="inlineStr">
        <is>
          <t>Keyboard: reach and use the card buttons</t>
        </is>
      </c>
      <c r="C6" s="3" t="inlineStr">
        <is>
          <t>S2</t>
        </is>
      </c>
      <c r="D6" s="3" t="inlineStr">
        <is>
          <t>1. Tab to Join Live Class 2. Enter</t>
        </is>
      </c>
      <c r="E6" s="3" t="inlineStr">
        <is>
          <t>Visible focus; lobby opens</t>
        </is>
      </c>
      <c r="F6" s="3" t="inlineStr">
        <is>
          <t>P1</t>
        </is>
      </c>
      <c r="G6" s="3" t="n"/>
      <c r="H6" s="3" t="inlineStr">
        <is>
          <t>SD-40</t>
        </is>
      </c>
      <c r="I6" s="3" t="inlineStr">
        <is>
          <t>No</t>
        </is>
      </c>
    </row>
    <row r="7">
      <c r="A7" s="3" t="inlineStr">
        <is>
          <t>DSH-MOB-006</t>
        </is>
      </c>
      <c r="B7" s="3" t="inlineStr">
        <is>
          <t>Keyboard: Browse Catalog</t>
        </is>
      </c>
      <c r="C7" s="3" t="inlineStr">
        <is>
          <t>U1</t>
        </is>
      </c>
      <c r="D7" s="3" t="inlineStr">
        <is>
          <t>1. Tab to the button 2. Enter</t>
        </is>
      </c>
      <c r="E7" s="3" t="inlineStr">
        <is>
          <t>/courses opens</t>
        </is>
      </c>
      <c r="F7" s="3" t="inlineStr">
        <is>
          <t>P2</t>
        </is>
      </c>
      <c r="G7" s="3" t="n"/>
      <c r="H7" s="3" t="inlineStr">
        <is>
          <t>SD-40</t>
        </is>
      </c>
      <c r="I7" s="3" t="inlineStr">
        <is>
          <t>No</t>
        </is>
      </c>
    </row>
    <row r="8">
      <c r="A8" s="3" t="inlineStr">
        <is>
          <t>DSH-MOB-007</t>
        </is>
      </c>
      <c r="B8" s="3" t="inlineStr">
        <is>
          <t>Firefox smoke</t>
        </is>
      </c>
      <c r="C8" s="3" t="inlineStr">
        <is>
          <t>Firefox project</t>
        </is>
      </c>
      <c r="D8" s="3" t="inlineStr">
        <is>
          <t>1. Run STATE-004, CARD-001, CARD-004, CARD-005</t>
        </is>
      </c>
      <c r="E8" s="3" t="inlineStr">
        <is>
          <t>Same results as Chromium</t>
        </is>
      </c>
      <c r="F8" s="3" t="inlineStr">
        <is>
          <t>P1</t>
        </is>
      </c>
      <c r="G8" s="3" t="n"/>
      <c r="H8" s="3" t="inlineStr">
        <is>
          <t>SD-41</t>
        </is>
      </c>
      <c r="I8" s="3" t="inlineStr">
        <is>
          <t>No</t>
        </is>
      </c>
    </row>
    <row r="9">
      <c r="A9" s="3" t="inlineStr">
        <is>
          <t>DSH-MOB-008</t>
        </is>
      </c>
      <c r="B9" s="3" t="inlineStr">
        <is>
          <t>WebKit smoke</t>
        </is>
      </c>
      <c r="C9" s="3" t="inlineStr">
        <is>
          <t>WebKit project</t>
        </is>
      </c>
      <c r="D9" s="3" t="inlineStr">
        <is>
          <t>1. Run the same cases</t>
        </is>
      </c>
      <c r="E9" s="3" t="inlineStr">
        <is>
          <t>Same results as Chromium</t>
        </is>
      </c>
      <c r="F9" s="3" t="inlineStr">
        <is>
          <t>P1</t>
        </is>
      </c>
      <c r="G9" s="3" t="n"/>
      <c r="H9" s="3" t="inlineStr">
        <is>
          <t>SD-41</t>
        </is>
      </c>
      <c r="I9" s="3" t="inlineStr">
        <is>
          <t>No</t>
        </is>
      </c>
    </row>
    <row r="10">
      <c r="F10" s="4" t="inlineStr">
        <is>
          <t>Coverage</t>
        </is>
      </c>
      <c r="G10" s="6">
        <f>IF(COUNTA(A2:A9)=0,0,(COUNTIF(G2:G9,"Passed")+COUNTIF(G2:G9,"Failed")+COUNTIF(G2:G9,"NA"))/COUNTA(A2:A9))</f>
        <v/>
      </c>
    </row>
  </sheetData>
  <conditionalFormatting sqref="G2:G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9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DSH-E2E-001</t>
        </is>
      </c>
      <c r="B2" s="3" t="inlineStr">
        <is>
          <t>New learner journey</t>
        </is>
      </c>
      <c r="C2" s="3" t="inlineStr">
        <is>
          <t>V1</t>
        </is>
      </c>
      <c r="D2" s="3" t="inlineStr">
        <is>
          <t>1. Sign up/sign in as U1 2. See the empty state 3. Browse Catalog 4. Enrol (PRD 05) 5. Go to Dashboard</t>
        </is>
      </c>
      <c r="E2" s="3" t="inlineStr">
        <is>
          <t>Card appears; View Recordings opens the player; one enrolment row</t>
        </is>
      </c>
      <c r="F2" s="3" t="inlineStr">
        <is>
          <t>P0</t>
        </is>
      </c>
      <c r="G2" s="3" t="n"/>
      <c r="H2" s="3" t="inlineStr">
        <is>
          <t>SD-42</t>
        </is>
      </c>
      <c r="I2" s="3" t="inlineStr">
        <is>
          <t>checkout-real-db.spec.ts (partial)</t>
        </is>
      </c>
    </row>
    <row r="3">
      <c r="A3" s="3" t="inlineStr">
        <is>
          <t>DSH-E2E-002</t>
        </is>
      </c>
      <c r="B3" s="3" t="inlineStr">
        <is>
          <t>Returning learner with one course</t>
        </is>
      </c>
      <c r="C3" s="3" t="inlineStr">
        <is>
          <t>S2</t>
        </is>
      </c>
      <c r="D3" s="3" t="inlineStr">
        <is>
          <t>1. Sign in 2. Open the dashboard 3. Join Live Class 4. Back</t>
        </is>
      </c>
      <c r="E3" s="3" t="inlineStr">
        <is>
          <t>Lobby (no-link text), back to the same dashboard</t>
        </is>
      </c>
      <c r="F3" s="3" t="inlineStr">
        <is>
          <t>P0</t>
        </is>
      </c>
      <c r="G3" s="3" t="n"/>
      <c r="H3" s="3" t="inlineStr">
        <is>
          <t>SD-09</t>
        </is>
      </c>
      <c r="I3" s="3" t="inlineStr">
        <is>
          <t>No</t>
        </is>
      </c>
    </row>
    <row r="4">
      <c r="A4" s="3" t="inlineStr">
        <is>
          <t>DSH-E2E-003</t>
        </is>
      </c>
      <c r="B4" s="3" t="inlineStr">
        <is>
          <t>Learner buys a second course</t>
        </is>
      </c>
      <c r="C4" s="3" t="inlineStr">
        <is>
          <t>S2</t>
        </is>
      </c>
      <c r="D4" s="3" t="inlineStr">
        <is>
          <t>1. Buy the fixture course 2. Go to Dashboard</t>
        </is>
      </c>
      <c r="E4" s="3" t="inlineStr">
        <is>
          <t>Two cards; both buttons correct</t>
        </is>
      </c>
      <c r="F4" s="3" t="inlineStr">
        <is>
          <t>P0</t>
        </is>
      </c>
      <c r="G4" s="3" t="n"/>
      <c r="H4" s="3" t="inlineStr">
        <is>
          <t>SD-11</t>
        </is>
      </c>
      <c r="I4" s="3" t="inlineStr">
        <is>
          <t>No</t>
        </is>
      </c>
    </row>
    <row r="5">
      <c r="A5" s="3" t="inlineStr">
        <is>
          <t>DSH-E2E-004</t>
        </is>
      </c>
      <c r="B5" s="3" t="inlineStr">
        <is>
          <t>Not enrolled and tries a direct lobby link</t>
        </is>
      </c>
      <c r="C5" s="3" t="inlineStr">
        <is>
          <t>U1</t>
        </is>
      </c>
      <c r="D5" s="3" t="inlineStr">
        <is>
          <t>1. Open /live/&lt;course&gt; 2. Return to Dashboard</t>
        </is>
      </c>
      <c r="E5" s="3" t="inlineStr">
        <is>
          <t>Access Denied then the empty state</t>
        </is>
      </c>
      <c r="F5" s="3" t="inlineStr">
        <is>
          <t>P0</t>
        </is>
      </c>
      <c r="G5" s="3" t="n"/>
      <c r="H5" s="3" t="inlineStr">
        <is>
          <t>SD-31</t>
        </is>
      </c>
      <c r="I5" s="3" t="inlineStr">
        <is>
          <t>No</t>
        </is>
      </c>
    </row>
    <row r="6">
      <c r="A6" s="3" t="inlineStr">
        <is>
          <t>DSH-E2E-005</t>
        </is>
      </c>
      <c r="B6" s="3" t="inlineStr">
        <is>
          <t>Enrolment removed during the session</t>
        </is>
      </c>
      <c r="C6" s="3" t="inlineStr">
        <is>
          <t>S2</t>
        </is>
      </c>
      <c r="D6" s="3" t="inlineStr">
        <is>
          <t>1. Delete the enrolment 2. Reload</t>
        </is>
      </c>
      <c r="E6" s="3" t="inlineStr">
        <is>
          <t>Empty state; lobby denied</t>
        </is>
      </c>
      <c r="F6" s="3" t="inlineStr">
        <is>
          <t>P0</t>
        </is>
      </c>
      <c r="G6" s="3" t="n"/>
      <c r="H6" s="3" t="inlineStr">
        <is>
          <t>SD-13</t>
        </is>
      </c>
      <c r="I6" s="3" t="inlineStr">
        <is>
          <t>No</t>
        </is>
      </c>
    </row>
    <row r="7">
      <c r="A7" s="3" t="inlineStr">
        <is>
          <t>DSH-E2E-006</t>
        </is>
      </c>
      <c r="B7" s="3" t="inlineStr">
        <is>
          <t>Visitor to learner</t>
        </is>
      </c>
      <c r="C7" s="3" t="inlineStr">
        <is>
          <t>V1</t>
        </is>
      </c>
      <c r="D7" s="3" t="inlineStr">
        <is>
          <t>1. Open /learning 2. Sign in 3. Land on the dashboard</t>
        </is>
      </c>
      <c r="E7" s="3" t="inlineStr">
        <is>
          <t>Dashboard with the right list</t>
        </is>
      </c>
      <c r="F7" s="3" t="inlineStr">
        <is>
          <t>P1</t>
        </is>
      </c>
      <c r="G7" s="3" t="n"/>
      <c r="H7" s="3" t="inlineStr">
        <is>
          <t>SD-02</t>
        </is>
      </c>
      <c r="I7" s="3" t="inlineStr">
        <is>
          <t>No</t>
        </is>
      </c>
    </row>
    <row r="8">
      <c r="A8" s="3" t="inlineStr">
        <is>
          <t>DSH-E2E-007</t>
        </is>
      </c>
      <c r="B8" s="3" t="inlineStr">
        <is>
          <t>Admin checks a lobby</t>
        </is>
      </c>
      <c r="C8" s="3" t="inlineStr">
        <is>
          <t>A1</t>
        </is>
      </c>
      <c r="D8" s="3" t="inlineStr">
        <is>
          <t>1. Open a lobby without enrolment</t>
        </is>
      </c>
      <c r="E8" s="3" t="inlineStr">
        <is>
          <t>Lobby opens; dashboard unchanged</t>
        </is>
      </c>
      <c r="F8" s="3" t="inlineStr">
        <is>
          <t>P1</t>
        </is>
      </c>
      <c r="G8" s="3" t="n"/>
      <c r="H8" s="3" t="inlineStr">
        <is>
          <t>SD-36</t>
        </is>
      </c>
      <c r="I8" s="3" t="inlineStr">
        <is>
          <t>No</t>
        </is>
      </c>
    </row>
    <row r="9">
      <c r="F9" s="4" t="inlineStr">
        <is>
          <t>Coverage</t>
        </is>
      </c>
      <c r="G9" s="6">
        <f>IF(COUNTA(A2:A8)=0,0,(COUNTIF(G2:G8,"Passed")+COUNTIF(G2:G8,"Failed")+COUNTIF(G2:G8,"NA"))/COUNTA(A2:A8))</f>
        <v/>
      </c>
    </row>
  </sheetData>
  <conditionalFormatting sqref="G2:G8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8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8" customWidth="1" min="4" max="4"/>
  </cols>
  <sheetData>
    <row r="1">
      <c r="A1" s="4" t="inlineStr">
        <is>
          <t>Requirement</t>
        </is>
      </c>
      <c r="B1" s="4" t="inlineStr">
        <is>
          <t>Coverage Rate</t>
        </is>
      </c>
    </row>
    <row r="2">
      <c r="A2" t="inlineStr">
        <is>
          <t>FR1, FR2, FR5 — Dashboard States and Empty</t>
        </is>
      </c>
      <c r="B2" s="6">
        <f>'Dashboard States and Empty'!G12</f>
        <v/>
      </c>
      <c r="D2" s="4" t="inlineStr">
        <is>
          <t>Status</t>
        </is>
      </c>
      <c r="E2" s="4" t="inlineStr">
        <is>
          <t>Count</t>
        </is>
      </c>
    </row>
    <row r="3">
      <c r="A3" t="inlineStr">
        <is>
          <t>FR3, FR4, FR6, FR7, FR16 — Course Cards and Actions</t>
        </is>
      </c>
      <c r="B3" s="6">
        <f>'Course Cards and Actions'!G13</f>
        <v/>
      </c>
      <c r="D3" t="inlineStr">
        <is>
          <t>Passed</t>
        </is>
      </c>
      <c r="E3">
        <f>COUNTIF('Dashboard States and Empty'!G2:G11, "Passed") + COUNTIF('Course Cards and Actions'!G2:G12, "Passed") + COUNTIF('Several Courses and Changes'!G2:G11, "Passed") + COUNTIF('Streak XP and Leaderboard'!G2:G13, "Passed") + COUNTIF('Resources Panel'!G2:G6, "Passed") + COUNTIF('Live Lobby'!G2:G14, "Passed") + COUNTIF('Failure and Resilience'!G2:G7, "Passed") + COUNTIF('Mobile Keyboard and Browsers'!G2:G9, "Passed") + COUNTIF('End-to-End Business-Critical'!G2:G8, "Passed")</f>
        <v/>
      </c>
    </row>
    <row r="4">
      <c r="A4" t="inlineStr">
        <is>
          <t>FR3, FR10 — Several Courses and Changes</t>
        </is>
      </c>
      <c r="B4" s="6">
        <f>'Several Courses and Changes'!G12</f>
        <v/>
      </c>
      <c r="D4" t="inlineStr">
        <is>
          <t>Failed</t>
        </is>
      </c>
      <c r="E4">
        <f>COUNTIF('Dashboard States and Empty'!G2:G11, "Failed") + COUNTIF('Course Cards and Actions'!G2:G12, "Failed") + COUNTIF('Several Courses and Changes'!G2:G11, "Failed") + COUNTIF('Streak XP and Leaderboard'!G2:G13, "Failed") + COUNTIF('Resources Panel'!G2:G6, "Failed") + COUNTIF('Live Lobby'!G2:G14, "Failed") + COUNTIF('Failure and Resilience'!G2:G7, "Failed") + COUNTIF('Mobile Keyboard and Browsers'!G2:G9, "Failed") + COUNTIF('End-to-End Business-Critical'!G2:G8, "Failed")</f>
        <v/>
      </c>
    </row>
    <row r="5">
      <c r="A5" t="inlineStr">
        <is>
          <t>FR11, FR12, FR13 — Streak XP and Leaderboard</t>
        </is>
      </c>
      <c r="B5" s="6">
        <f>'Streak XP and Leaderboard'!G14</f>
        <v/>
      </c>
      <c r="D5" t="inlineStr">
        <is>
          <t>Not Applicable</t>
        </is>
      </c>
      <c r="E5">
        <f>COUNTIF('Dashboard States and Empty'!G2:G11, "NA") + COUNTIF('Course Cards and Actions'!G2:G12, "NA") + COUNTIF('Several Courses and Changes'!G2:G11, "NA") + COUNTIF('Streak XP and Leaderboard'!G2:G13, "NA") + COUNTIF('Resources Panel'!G2:G6, "NA") + COUNTIF('Live Lobby'!G2:G14, "NA") + COUNTIF('Failure and Resilience'!G2:G7, "NA") + COUNTIF('Mobile Keyboard and Browsers'!G2:G9, "NA") + COUNTIF('End-to-End Business-Critical'!G2:G8, "NA")</f>
        <v/>
      </c>
    </row>
    <row r="6">
      <c r="A6" t="inlineStr">
        <is>
          <t>FR14 — Resources Panel</t>
        </is>
      </c>
      <c r="B6" s="6">
        <f>'Resources Panel'!G7</f>
        <v/>
      </c>
      <c r="D6" t="inlineStr">
        <is>
          <t>Not Tested Yet</t>
        </is>
      </c>
      <c r="E6">
        <f>E7-E3-E4-E5</f>
        <v/>
      </c>
    </row>
    <row r="7">
      <c r="A7" t="inlineStr">
        <is>
          <t>FR8, FR9 — Live Lobby</t>
        </is>
      </c>
      <c r="B7" s="6">
        <f>'Live Lobby'!G15</f>
        <v/>
      </c>
      <c r="D7" t="inlineStr">
        <is>
          <t>Total Test Cases</t>
        </is>
      </c>
      <c r="E7">
        <f>COUNTA('Dashboard States and Empty'!A2:A11) + COUNTA('Course Cards and Actions'!A2:A12) + COUNTA('Several Courses and Changes'!A2:A11) + COUNTA('Streak XP and Leaderboard'!A2:A13) + COUNTA('Resources Panel'!A2:A6) + COUNTA('Live Lobby'!A2:A14) + COUNTA('Failure and Resilience'!A2:A7) + COUNTA('Mobile Keyboard and Browsers'!A2:A9) + COUNTA('End-to-End Business-Critical'!A2:A8)</f>
        <v/>
      </c>
    </row>
    <row r="8">
      <c r="A8" t="inlineStr">
        <is>
          <t>FR15 — Failure and Resilience</t>
        </is>
      </c>
      <c r="B8" s="6">
        <f>'Failure and Resilience'!G8</f>
        <v/>
      </c>
    </row>
    <row r="9">
      <c r="A9" t="inlineStr">
        <is>
          <t>FR17, FR18 — Mobile Keyboard and Browsers</t>
        </is>
      </c>
      <c r="B9" s="6">
        <f>'Mobile Keyboard and Browsers'!G10</f>
        <v/>
      </c>
    </row>
    <row r="10">
      <c r="A10" t="inlineStr">
        <is>
          <t>FR1 to FR10 (journeys) — End-to-End Business-Critical</t>
        </is>
      </c>
      <c r="B10" s="6">
        <f>'End-to-End Business-Critical'!G9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2026-10-29T08:33:12Z</dcterms:created>
  <dcterms:modified xsi:type="dcterms:W3CDTF">2026-10-29T08:33:12Z</dcterms:modified>
</cp:coreProperties>
</file>