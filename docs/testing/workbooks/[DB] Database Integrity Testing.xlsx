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Schema" sheetId="2" state="visible" r:id="rId2"/>
    <sheet name="Constraints" sheetId="3" state="visible" r:id="rId3"/>
    <sheet name="Access with the Public Key" sheetId="4" state="visible" r:id="rId4"/>
    <sheet name="Data Quality" sheetId="5" state="visible" r:id="rId5"/>
    <sheet name="Policy Inventory (manual)" sheetId="6" state="visible" r:id="rId6"/>
    <sheet name="Traceability to Functional Req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SR</t>
        </is>
      </c>
      <c r="B4" s="3" t="inlineStr">
        <is>
          <t>Service-role connection to the QA Supabase project (used for assertions, setup and cleanup)</t>
        </is>
      </c>
      <c r="C4" s="3" t="inlineStr">
        <is>
          <t>SUPABASE_SERVICE_ROLE_KEY</t>
        </is>
      </c>
    </row>
    <row r="5">
      <c r="A5" s="3" t="inlineStr">
        <is>
          <t>AN</t>
        </is>
      </c>
      <c r="B5" s="3" t="inlineStr">
        <is>
          <t>Public anon key: exactly what any browser has (it ships in every page)</t>
        </is>
      </c>
      <c r="C5" s="3" t="inlineStr">
        <is>
          <t>NEXT_PUBLIC_SUPABASE_ANON_KEY</t>
        </is>
      </c>
    </row>
    <row r="6">
      <c r="A6" s="3" t="inlineStr">
        <is>
          <t>T</t>
        </is>
      </c>
      <c r="B6" s="3" t="inlineStr">
        <is>
          <t>Test rows use the user id prefix qa_db_ and are removed after each case</t>
        </is>
      </c>
      <c r="C6" s="3" t="inlineStr">
        <is>
          <t>qa_db_*</t>
        </is>
      </c>
    </row>
    <row r="7">
      <c r="A7" s="3" t="inlineStr">
        <is>
          <t>P</t>
        </is>
      </c>
      <c r="B7" s="3" t="inlineStr">
        <is>
          <t>Persona accounts and the seeded enrolment state (mavish Course A, bazar Course B, edu none)</t>
        </is>
      </c>
      <c r="C7" s="3" t="inlineStr">
        <is>
          <t>docs/testing/TEST_DATA.md</t>
        </is>
      </c>
    </row>
    <row r="9">
      <c r="A9" s="4" t="inlineStr">
        <is>
          <t>Notes</t>
        </is>
      </c>
      <c r="B9" s="3" t="inlineStr">
        <is>
          <t>QA project only. Cases that describe the hardened state of docs/SUPABASE_HARDENING.md are known failures until that runbook (and the phase-2 policies) is applied; each carries a ticket. Never run the access cases against production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DBI-SCH-001</t>
        </is>
      </c>
      <c r="B2" s="3" t="inlineStr">
        <is>
          <t>Tables exist</t>
        </is>
      </c>
      <c r="C2" s="3" t="inlineStr">
        <is>
          <t>SR</t>
        </is>
      </c>
      <c r="D2" s="3" t="inlineStr">
        <is>
          <t>1. Read the PostgREST schema</t>
        </is>
      </c>
      <c r="E2" s="3" t="inlineStr">
        <is>
          <t>user_enrollments, video_progress, video_comments, assignment_progress, exam_progress, user_stats, admin_activity_log are present</t>
        </is>
      </c>
      <c r="F2" s="3" t="inlineStr">
        <is>
          <t>P0</t>
        </is>
      </c>
      <c r="G2" s="3" t="n"/>
      <c r="H2" s="3" t="inlineStr">
        <is>
          <t>DB-01</t>
        </is>
      </c>
      <c r="I2" s="3" t="inlineStr">
        <is>
          <t>tests/db/db-integrity.spec.ts</t>
        </is>
      </c>
    </row>
    <row r="3">
      <c r="A3" s="3" t="inlineStr">
        <is>
          <t>DBI-SCH-002</t>
        </is>
      </c>
      <c r="B3" s="3" t="inlineStr">
        <is>
          <t>Columns match docs/DATABASE.md</t>
        </is>
      </c>
      <c r="C3" s="3" t="inlineStr">
        <is>
          <t>SR</t>
        </is>
      </c>
      <c r="D3" s="3" t="inlineStr">
        <is>
          <t>1. Compare column names per table</t>
        </is>
      </c>
      <c r="E3" s="3" t="inlineStr">
        <is>
          <t>Exactly the documented columns</t>
        </is>
      </c>
      <c r="F3" s="3" t="inlineStr">
        <is>
          <t>P1</t>
        </is>
      </c>
      <c r="G3" s="3" t="n"/>
      <c r="H3" s="3" t="inlineStr">
        <is>
          <t>DB-01</t>
        </is>
      </c>
      <c r="I3" s="3" t="inlineStr">
        <is>
          <t>tests/db/db-integrity.spec.ts</t>
        </is>
      </c>
    </row>
    <row r="4">
      <c r="A4" s="3" t="inlineStr">
        <is>
          <t>DBI-SCH-003</t>
        </is>
      </c>
      <c r="B4" s="3" t="inlineStr">
        <is>
          <t>Primary keys</t>
        </is>
      </c>
      <c r="C4" s="3" t="inlineStr">
        <is>
          <t>SR</t>
        </is>
      </c>
      <c r="D4" s="3" t="inlineStr">
        <is>
          <t>1. Read key and default of each table</t>
        </is>
      </c>
      <c r="E4" s="3" t="inlineStr">
        <is>
          <t>Generated uuid id (six tables); user_id on user_stats</t>
        </is>
      </c>
      <c r="F4" s="3" t="inlineStr">
        <is>
          <t>P1</t>
        </is>
      </c>
      <c r="G4" s="3" t="n"/>
      <c r="H4" s="3" t="inlineStr">
        <is>
          <t>DB-02</t>
        </is>
      </c>
      <c r="I4" s="3" t="inlineStr">
        <is>
          <t>tests/db/db-integrity.spec.ts</t>
        </is>
      </c>
    </row>
    <row r="5">
      <c r="A5" s="3" t="inlineStr">
        <is>
          <t>DBI-SCH-004</t>
        </is>
      </c>
      <c r="B5" s="3" t="inlineStr">
        <is>
          <t>Required columns</t>
        </is>
      </c>
      <c r="C5" s="3" t="inlineStr">
        <is>
          <t>SR</t>
        </is>
      </c>
      <c r="D5" s="3" t="inlineStr">
        <is>
          <t>1. Insert rows missing a required column</t>
        </is>
      </c>
      <c r="E5" s="3" t="inlineStr">
        <is>
          <t>Refused with 23502 (not null)</t>
        </is>
      </c>
      <c r="F5" s="3" t="inlineStr">
        <is>
          <t>P0</t>
        </is>
      </c>
      <c r="G5" s="3" t="n"/>
      <c r="H5" s="3" t="inlineStr">
        <is>
          <t>DB-03</t>
        </is>
      </c>
      <c r="I5" s="3" t="inlineStr">
        <is>
          <t>tests/db/db-integrity.spec.ts</t>
        </is>
      </c>
    </row>
    <row r="6">
      <c r="A6" s="3" t="inlineStr">
        <is>
          <t>DBI-SCH-005</t>
        </is>
      </c>
      <c r="B6" s="3" t="inlineStr">
        <is>
          <t>Defaults</t>
        </is>
      </c>
      <c r="C6" s="3" t="inlineStr">
        <is>
          <t>SR</t>
        </is>
      </c>
      <c r="D6" s="3" t="inlineStr">
        <is>
          <t>1. Insert minimal rows</t>
        </is>
      </c>
      <c r="E6" s="3" t="inlineStr">
        <is>
          <t>enrolled_at = now (UTC), is_read false, stats 1/0/0, exam 0/false/0, last_active_date today</t>
        </is>
      </c>
      <c r="F6" s="3" t="inlineStr">
        <is>
          <t>P1</t>
        </is>
      </c>
      <c r="G6" s="3" t="n"/>
      <c r="H6" s="3" t="inlineStr">
        <is>
          <t>DB-03</t>
        </is>
      </c>
      <c r="I6" s="3" t="inlineStr">
        <is>
          <t>tests/db/db-integrity.spec.ts</t>
        </is>
      </c>
    </row>
    <row r="7">
      <c r="A7" s="3" t="inlineStr">
        <is>
          <t>DBI-SCH-006</t>
        </is>
      </c>
      <c r="B7" s="3" t="inlineStr">
        <is>
          <t>video_likes exists</t>
        </is>
      </c>
      <c r="C7" s="3" t="inlineStr">
        <is>
          <t>SR</t>
        </is>
      </c>
      <c r="D7" s="3" t="inlineStr">
        <is>
          <t>1. Look for the table the course page queries</t>
        </is>
      </c>
      <c r="E7" s="3" t="inlineStr">
        <is>
          <t>Present (known failure: missing, SCP-49)</t>
        </is>
      </c>
      <c r="F7" s="3" t="inlineStr">
        <is>
          <t>P2</t>
        </is>
      </c>
      <c r="G7" s="3" t="n"/>
      <c r="H7" s="3" t="inlineStr">
        <is>
          <t>DB-01</t>
        </is>
      </c>
      <c r="I7" s="3" t="inlineStr">
        <is>
          <t>tests/db/db-integrity.spec.ts (known failure)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DBI-CON-001</t>
        </is>
      </c>
      <c r="B2" s="3" t="inlineStr">
        <is>
          <t>One video progress row</t>
        </is>
      </c>
      <c r="C2" s="3" t="inlineStr">
        <is>
          <t>SR</t>
        </is>
      </c>
      <c r="D2" s="3" t="inlineStr">
        <is>
          <t>1. Insert the same (user, course, video) twice</t>
        </is>
      </c>
      <c r="E2" s="3" t="inlineStr">
        <is>
          <t>Second insert refused 23505</t>
        </is>
      </c>
      <c r="F2" s="3" t="inlineStr">
        <is>
          <t>P0</t>
        </is>
      </c>
      <c r="G2" s="3" t="n"/>
      <c r="H2" s="3" t="inlineStr">
        <is>
          <t>DB-04</t>
        </is>
      </c>
      <c r="I2" s="3" t="inlineStr">
        <is>
          <t>tests/db/db-integrity.spec.ts</t>
        </is>
      </c>
    </row>
    <row r="3">
      <c r="A3" s="3" t="inlineStr">
        <is>
          <t>DBI-CON-002</t>
        </is>
      </c>
      <c r="B3" s="3" t="inlineStr">
        <is>
          <t>One assignment row</t>
        </is>
      </c>
      <c r="C3" s="3" t="inlineStr">
        <is>
          <t>SR</t>
        </is>
      </c>
      <c r="D3" s="3" t="inlineStr">
        <is>
          <t>1. Insert the same (user, course, video) twice</t>
        </is>
      </c>
      <c r="E3" s="3" t="inlineStr">
        <is>
          <t>Second insert refused 23505</t>
        </is>
      </c>
      <c r="F3" s="3" t="inlineStr">
        <is>
          <t>P0</t>
        </is>
      </c>
      <c r="G3" s="3" t="n"/>
      <c r="H3" s="3" t="inlineStr">
        <is>
          <t>DB-04</t>
        </is>
      </c>
      <c r="I3" s="3" t="inlineStr">
        <is>
          <t>tests/db/db-integrity.spec.ts</t>
        </is>
      </c>
    </row>
    <row r="4">
      <c r="A4" s="3" t="inlineStr">
        <is>
          <t>DBI-CON-003</t>
        </is>
      </c>
      <c r="B4" s="3" t="inlineStr">
        <is>
          <t>One exam row</t>
        </is>
      </c>
      <c r="C4" s="3" t="inlineStr">
        <is>
          <t>SR</t>
        </is>
      </c>
      <c r="D4" s="3" t="inlineStr">
        <is>
          <t>1. Insert the same (user, course) twice</t>
        </is>
      </c>
      <c r="E4" s="3" t="inlineStr">
        <is>
          <t>Second insert refused 23505</t>
        </is>
      </c>
      <c r="F4" s="3" t="inlineStr">
        <is>
          <t>P0</t>
        </is>
      </c>
      <c r="G4" s="3" t="n"/>
      <c r="H4" s="3" t="inlineStr">
        <is>
          <t>DB-04</t>
        </is>
      </c>
      <c r="I4" s="3" t="inlineStr">
        <is>
          <t>tests/db/db-integrity.spec.ts</t>
        </is>
      </c>
    </row>
    <row r="5">
      <c r="A5" s="3" t="inlineStr">
        <is>
          <t>DBI-CON-004</t>
        </is>
      </c>
      <c r="B5" s="3" t="inlineStr">
        <is>
          <t>One stats row per learner</t>
        </is>
      </c>
      <c r="C5" s="3" t="inlineStr">
        <is>
          <t>SR</t>
        </is>
      </c>
      <c r="D5" s="3" t="inlineStr">
        <is>
          <t>1. Insert the same user_id twice</t>
        </is>
      </c>
      <c r="E5" s="3" t="inlineStr">
        <is>
          <t>Second insert refused 23505</t>
        </is>
      </c>
      <c r="F5" s="3" t="inlineStr">
        <is>
          <t>P0</t>
        </is>
      </c>
      <c r="G5" s="3" t="n"/>
      <c r="H5" s="3" t="inlineStr">
        <is>
          <t>DB-04</t>
        </is>
      </c>
      <c r="I5" s="3" t="inlineStr">
        <is>
          <t>tests/db/db-integrity.spec.ts</t>
        </is>
      </c>
    </row>
    <row r="6">
      <c r="A6" s="3" t="inlineStr">
        <is>
          <t>DBI-CON-005</t>
        </is>
      </c>
      <c r="B6" s="3" t="inlineStr">
        <is>
          <t>One enrolment per learner and course</t>
        </is>
      </c>
      <c r="C6" s="3" t="inlineStr">
        <is>
          <t>SR</t>
        </is>
      </c>
      <c r="D6" s="3" t="inlineStr">
        <is>
          <t>1. Insert the same (user, course) twice</t>
        </is>
      </c>
      <c r="E6" s="3" t="inlineStr">
        <is>
          <t>Second insert refused 23505 (known failure: allowed, SCP-44)</t>
        </is>
      </c>
      <c r="F6" s="3" t="inlineStr">
        <is>
          <t>P0</t>
        </is>
      </c>
      <c r="G6" s="3" t="n"/>
      <c r="H6" s="3" t="inlineStr">
        <is>
          <t>DB-05</t>
        </is>
      </c>
      <c r="I6" s="3" t="inlineStr">
        <is>
          <t>tests/db/db-integrity.spec.ts (known failure)</t>
        </is>
      </c>
    </row>
    <row r="7">
      <c r="A7" s="3" t="inlineStr">
        <is>
          <t>DBI-CON-006</t>
        </is>
      </c>
      <c r="B7" s="3" t="inlineStr">
        <is>
          <t>Upsert is idempotent</t>
        </is>
      </c>
      <c r="C7" s="3" t="inlineStr">
        <is>
          <t>SR</t>
        </is>
      </c>
      <c r="D7" s="3" t="inlineStr">
        <is>
          <t>1. Upsert the same progress row twice</t>
        </is>
      </c>
      <c r="E7" s="3" t="inlineStr">
        <is>
          <t>One row</t>
        </is>
      </c>
      <c r="F7" s="3" t="inlineStr">
        <is>
          <t>P1</t>
        </is>
      </c>
      <c r="G7" s="3" t="n"/>
      <c r="H7" s="3" t="inlineStr">
        <is>
          <t>DB-04</t>
        </is>
      </c>
      <c r="I7" s="3" t="inlineStr">
        <is>
          <t>tests/db/db-integrity.spec.ts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DBI-ACC-001</t>
        </is>
      </c>
      <c r="B2" s="3" t="inlineStr">
        <is>
          <t>Anon cannot insert an enrolment</t>
        </is>
      </c>
      <c r="C2" s="3" t="inlineStr">
        <is>
          <t>AN</t>
        </is>
      </c>
      <c r="D2" s="3" t="inlineStr">
        <is>
          <t>1. Insert into user_enrollments</t>
        </is>
      </c>
      <c r="E2" s="3" t="inlineStr">
        <is>
          <t>Refused (known failure: accepted, SCP-74)</t>
        </is>
      </c>
      <c r="F2" s="3" t="inlineStr">
        <is>
          <t>P0</t>
        </is>
      </c>
      <c r="G2" s="3" t="n"/>
      <c r="H2" s="3" t="inlineStr">
        <is>
          <t>DB-06</t>
        </is>
      </c>
      <c r="I2" s="3" t="inlineStr">
        <is>
          <t>tests/db/db-integrity.spec.ts (known failure)</t>
        </is>
      </c>
    </row>
    <row r="3">
      <c r="A3" s="3" t="inlineStr">
        <is>
          <t>DBI-ACC-002</t>
        </is>
      </c>
      <c r="B3" s="3" t="inlineStr">
        <is>
          <t>Anon cannot change or delete an enrolment</t>
        </is>
      </c>
      <c r="C3" s="3" t="inlineStr">
        <is>
          <t>AN</t>
        </is>
      </c>
      <c r="D3" s="3" t="inlineStr">
        <is>
          <t>1. Update and delete an existing row</t>
        </is>
      </c>
      <c r="E3" s="3" t="inlineStr">
        <is>
          <t>No row affected (known failure, SCP-74)</t>
        </is>
      </c>
      <c r="F3" s="3" t="inlineStr">
        <is>
          <t>P0</t>
        </is>
      </c>
      <c r="G3" s="3" t="n"/>
      <c r="H3" s="3" t="inlineStr">
        <is>
          <t>DB-06</t>
        </is>
      </c>
      <c r="I3" s="3" t="inlineStr">
        <is>
          <t>tests/db/db-integrity.spec.ts (known failure)</t>
        </is>
      </c>
    </row>
    <row r="4">
      <c r="A4" s="3" t="inlineStr">
        <is>
          <t>DBI-ACC-003</t>
        </is>
      </c>
      <c r="B4" s="3" t="inlineStr">
        <is>
          <t>Anon cannot read others' enrolments</t>
        </is>
      </c>
      <c r="C4" s="3" t="inlineStr">
        <is>
          <t>AN</t>
        </is>
      </c>
      <c r="D4" s="3" t="inlineStr">
        <is>
          <t>1. Select from user_enrollments</t>
        </is>
      </c>
      <c r="E4" s="3" t="inlineStr">
        <is>
          <t>No rows (known failure, SCP-75)</t>
        </is>
      </c>
      <c r="F4" s="3" t="inlineStr">
        <is>
          <t>P0</t>
        </is>
      </c>
      <c r="G4" s="3" t="n"/>
      <c r="H4" s="3" t="inlineStr">
        <is>
          <t>DB-07</t>
        </is>
      </c>
      <c r="I4" s="3" t="inlineStr">
        <is>
          <t>tests/db/db-integrity.spec.ts (known failure)</t>
        </is>
      </c>
    </row>
    <row r="5">
      <c r="A5" s="3" t="inlineStr">
        <is>
          <t>DBI-ACC-004</t>
        </is>
      </c>
      <c r="B5" s="3" t="inlineStr">
        <is>
          <t>Anon cannot read submitted code</t>
        </is>
      </c>
      <c r="C5" s="3" t="inlineStr">
        <is>
          <t>AN</t>
        </is>
      </c>
      <c r="D5" s="3" t="inlineStr">
        <is>
          <t>1. Select from assignment_progress</t>
        </is>
      </c>
      <c r="E5" s="3" t="inlineStr">
        <is>
          <t>No rows (known failure, SCP-75)</t>
        </is>
      </c>
      <c r="F5" s="3" t="inlineStr">
        <is>
          <t>P0</t>
        </is>
      </c>
      <c r="G5" s="3" t="n"/>
      <c r="H5" s="3" t="inlineStr">
        <is>
          <t>DB-07</t>
        </is>
      </c>
      <c r="I5" s="3" t="inlineStr">
        <is>
          <t>tests/db/db-integrity.spec.ts (known failure)</t>
        </is>
      </c>
    </row>
    <row r="6">
      <c r="A6" s="3" t="inlineStr">
        <is>
          <t>DBI-ACC-005</t>
        </is>
      </c>
      <c r="B6" s="3" t="inlineStr">
        <is>
          <t>Anon cannot read e-mail addresses</t>
        </is>
      </c>
      <c r="C6" s="3" t="inlineStr">
        <is>
          <t>AN</t>
        </is>
      </c>
      <c r="D6" s="3" t="inlineStr">
        <is>
          <t>1. Select user_email from user_stats</t>
        </is>
      </c>
      <c r="E6" s="3" t="inlineStr">
        <is>
          <t>No rows (known failure, SCP-75)</t>
        </is>
      </c>
      <c r="F6" s="3" t="inlineStr">
        <is>
          <t>P0</t>
        </is>
      </c>
      <c r="G6" s="3" t="n"/>
      <c r="H6" s="3" t="inlineStr">
        <is>
          <t>DB-07</t>
        </is>
      </c>
      <c r="I6" s="3" t="inlineStr">
        <is>
          <t>tests/db/db-integrity.spec.ts (known failure)</t>
        </is>
      </c>
    </row>
    <row r="7">
      <c r="A7" s="3" t="inlineStr">
        <is>
          <t>DBI-ACC-006</t>
        </is>
      </c>
      <c r="B7" s="3" t="inlineStr">
        <is>
          <t>Anon cannot write the activity log</t>
        </is>
      </c>
      <c r="C7" s="3" t="inlineStr">
        <is>
          <t>AN</t>
        </is>
      </c>
      <c r="D7" s="3" t="inlineStr">
        <is>
          <t>1. Insert into admin_activity_log</t>
        </is>
      </c>
      <c r="E7" s="3" t="inlineStr">
        <is>
          <t>Refused (known failure, SCP-76)</t>
        </is>
      </c>
      <c r="F7" s="3" t="inlineStr">
        <is>
          <t>P1</t>
        </is>
      </c>
      <c r="G7" s="3" t="n"/>
      <c r="H7" s="3" t="inlineStr">
        <is>
          <t>DB-08</t>
        </is>
      </c>
      <c r="I7" s="3" t="inlineStr">
        <is>
          <t>tests/db/db-integrity.spec.ts (known failure)</t>
        </is>
      </c>
    </row>
    <row r="8">
      <c r="A8" s="3" t="inlineStr">
        <is>
          <t>DBI-ACC-007</t>
        </is>
      </c>
      <c r="B8" s="3" t="inlineStr">
        <is>
          <t>Anon cannot change another learner's points</t>
        </is>
      </c>
      <c r="C8" s="3" t="inlineStr">
        <is>
          <t>AN</t>
        </is>
      </c>
      <c r="D8" s="3" t="inlineStr">
        <is>
          <t>1. Update user_stats.total_points of another user</t>
        </is>
      </c>
      <c r="E8" s="3" t="inlineStr">
        <is>
          <t>Value unchanged (known failure, SCP-76)</t>
        </is>
      </c>
      <c r="F8" s="3" t="inlineStr">
        <is>
          <t>P1</t>
        </is>
      </c>
      <c r="G8" s="3" t="n"/>
      <c r="H8" s="3" t="inlineStr">
        <is>
          <t>DB-08</t>
        </is>
      </c>
      <c r="I8" s="3" t="inlineStr">
        <is>
          <t>tests/db/db-integrity.spec.ts (known failure)</t>
        </is>
      </c>
    </row>
    <row r="9">
      <c r="A9" s="3" t="inlineStr">
        <is>
          <t>DBI-ACC-008</t>
        </is>
      </c>
      <c r="B9" s="3" t="inlineStr">
        <is>
          <t>Anon cannot post as another user</t>
        </is>
      </c>
      <c r="C9" s="3" t="inlineStr">
        <is>
          <t>AN</t>
        </is>
      </c>
      <c r="D9" s="3" t="inlineStr">
        <is>
          <t>1. Insert a comment with another user_id</t>
        </is>
      </c>
      <c r="E9" s="3" t="inlineStr">
        <is>
          <t>Refused (known failure, SCP-76)</t>
        </is>
      </c>
      <c r="F9" s="3" t="inlineStr">
        <is>
          <t>P1</t>
        </is>
      </c>
      <c r="G9" s="3" t="n"/>
      <c r="H9" s="3" t="inlineStr">
        <is>
          <t>DB-08</t>
        </is>
      </c>
      <c r="I9" s="3" t="inlineStr">
        <is>
          <t>tests/db/db-integrity.spec.ts (known failure)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DBI-DAT-001</t>
        </is>
      </c>
      <c r="B2" s="3" t="inlineStr">
        <is>
          <t>No duplicate enrolments</t>
        </is>
      </c>
      <c r="C2" s="3" t="inlineStr">
        <is>
          <t>SR</t>
        </is>
      </c>
      <c r="D2" s="3" t="inlineStr">
        <is>
          <t>1. Group enrolments by user and course</t>
        </is>
      </c>
      <c r="E2" s="3" t="inlineStr">
        <is>
          <t>No group larger than 1</t>
        </is>
      </c>
      <c r="F2" s="3" t="inlineStr">
        <is>
          <t>P0</t>
        </is>
      </c>
      <c r="G2" s="3" t="n"/>
      <c r="H2" s="3" t="inlineStr">
        <is>
          <t>DB-09</t>
        </is>
      </c>
      <c r="I2" s="3" t="inlineStr">
        <is>
          <t>tests/db/db-integrity.spec.ts</t>
        </is>
      </c>
    </row>
    <row r="3">
      <c r="A3" s="3" t="inlineStr">
        <is>
          <t>DBI-DAT-002</t>
        </is>
      </c>
      <c r="B3" s="3" t="inlineStr">
        <is>
          <t>Enrolments are for catalog courses</t>
        </is>
      </c>
      <c r="C3" s="3" t="inlineStr">
        <is>
          <t>SR</t>
        </is>
      </c>
      <c r="D3" s="3" t="inlineStr">
        <is>
          <t>1. Compare course_slug with the catalog</t>
        </is>
      </c>
      <c r="E3" s="3" t="inlineStr">
        <is>
          <t>No unknown slug</t>
        </is>
      </c>
      <c r="F3" s="3" t="inlineStr">
        <is>
          <t>P1</t>
        </is>
      </c>
      <c r="G3" s="3" t="n"/>
      <c r="H3" s="3" t="inlineStr">
        <is>
          <t>DB-09</t>
        </is>
      </c>
      <c r="I3" s="3" t="inlineStr">
        <is>
          <t>tests/db/db-integrity.spec.ts</t>
        </is>
      </c>
    </row>
    <row r="4">
      <c r="A4" s="3" t="inlineStr">
        <is>
          <t>DBI-DAT-003</t>
        </is>
      </c>
      <c r="B4" s="3" t="inlineStr">
        <is>
          <t>No leftovers of test runs</t>
        </is>
      </c>
      <c r="C4" s="3" t="inlineStr">
        <is>
          <t>SR</t>
        </is>
      </c>
      <c r="D4" s="3" t="inlineStr">
        <is>
          <t>1. Look for qa_ ids and QA-DB log entries</t>
        </is>
      </c>
      <c r="E4" s="3" t="inlineStr">
        <is>
          <t>None</t>
        </is>
      </c>
      <c r="F4" s="3" t="inlineStr">
        <is>
          <t>P1</t>
        </is>
      </c>
      <c r="G4" s="3" t="n"/>
      <c r="H4" s="3" t="inlineStr">
        <is>
          <t>DB-10</t>
        </is>
      </c>
      <c r="I4" s="3" t="inlineStr">
        <is>
          <t>tests/db/db-integrity.spec.ts</t>
        </is>
      </c>
    </row>
    <row r="5">
      <c r="A5" s="3" t="inlineStr">
        <is>
          <t>DBI-DAT-004</t>
        </is>
      </c>
      <c r="B5" s="3" t="inlineStr">
        <is>
          <t>Persona state is the seeded state</t>
        </is>
      </c>
      <c r="C5" s="3" t="inlineStr">
        <is>
          <t>SR; P</t>
        </is>
      </c>
      <c r="D5" s="3" t="inlineStr">
        <is>
          <t>1. Read each persona's enrolments</t>
        </is>
      </c>
      <c r="E5" s="3" t="inlineStr">
        <is>
          <t>mavish A, bazar B, edu none</t>
        </is>
      </c>
      <c r="F5" s="3" t="inlineStr">
        <is>
          <t>P1</t>
        </is>
      </c>
      <c r="G5" s="3" t="n"/>
      <c r="H5" s="3" t="inlineStr">
        <is>
          <t>DB-10</t>
        </is>
      </c>
      <c r="I5" s="3" t="inlineStr">
        <is>
          <t>tests/db/db-integrity.spec.ts</t>
        </is>
      </c>
    </row>
    <row r="6">
      <c r="A6" s="3" t="inlineStr">
        <is>
          <t>DBI-DAT-005</t>
        </is>
      </c>
      <c r="B6" s="3" t="inlineStr">
        <is>
          <t>No placeholder identity</t>
        </is>
      </c>
      <c r="C6" s="3" t="inlineStr">
        <is>
          <t>SR</t>
        </is>
      </c>
      <c r="D6" s="3" t="inlineStr">
        <is>
          <t>1. Look for 'Unknown Email' or empty e-mail</t>
        </is>
      </c>
      <c r="E6" s="3" t="inlineStr">
        <is>
          <t>None</t>
        </is>
      </c>
      <c r="F6" s="3" t="inlineStr">
        <is>
          <t>P2</t>
        </is>
      </c>
      <c r="G6" s="3" t="n"/>
      <c r="H6" s="3" t="inlineStr">
        <is>
          <t>DB-09</t>
        </is>
      </c>
      <c r="I6" s="3" t="inlineStr">
        <is>
          <t>tests/db/db-integrity.spec.ts</t>
        </is>
      </c>
    </row>
    <row r="7">
      <c r="A7" s="3" t="inlineStr">
        <is>
          <t>DBI-DAT-006</t>
        </is>
      </c>
      <c r="B7" s="3" t="inlineStr">
        <is>
          <t>Text round trip</t>
        </is>
      </c>
      <c r="C7" s="3" t="inlineStr">
        <is>
          <t>SR</t>
        </is>
      </c>
      <c r="D7" s="3" t="inlineStr">
        <is>
          <t>1. Store emoji, quotes, SQL-like text and 1 MB of code and read back</t>
        </is>
      </c>
      <c r="E7" s="3" t="inlineStr">
        <is>
          <t>Unchanged; no table affected</t>
        </is>
      </c>
      <c r="F7" s="3" t="inlineStr">
        <is>
          <t>P1</t>
        </is>
      </c>
      <c r="G7" s="3" t="n"/>
      <c r="H7" s="3" t="inlineStr">
        <is>
          <t>DB-11</t>
        </is>
      </c>
      <c r="I7" s="3" t="inlineStr">
        <is>
          <t>tests/db/db-integrity.spec.ts</t>
        </is>
      </c>
    </row>
    <row r="8">
      <c r="A8" s="3" t="inlineStr">
        <is>
          <t>DBI-DAT-007</t>
        </is>
      </c>
      <c r="B8" s="3" t="inlineStr">
        <is>
          <t>Activity log order and flag</t>
        </is>
      </c>
      <c r="C8" s="3" t="inlineStr">
        <is>
          <t>SR</t>
        </is>
      </c>
      <c r="D8" s="3" t="inlineStr">
        <is>
          <t>1. Insert two entries, read newest first</t>
        </is>
      </c>
      <c r="E8" s="3" t="inlineStr">
        <is>
          <t>Order by created_at desc; is_read false</t>
        </is>
      </c>
      <c r="F8" s="3" t="inlineStr">
        <is>
          <t>P2</t>
        </is>
      </c>
      <c r="G8" s="3" t="n"/>
      <c r="H8" s="3" t="inlineStr">
        <is>
          <t>DB-11</t>
        </is>
      </c>
      <c r="I8" s="3" t="inlineStr">
        <is>
          <t>tests/db/db-integrity.spec.ts</t>
        </is>
      </c>
    </row>
    <row r="9">
      <c r="A9" s="3" t="inlineStr">
        <is>
          <t>DBI-DAT-008</t>
        </is>
      </c>
      <c r="B9" s="3" t="inlineStr">
        <is>
          <t>Stored e-mail equals the Clerk e-mail</t>
        </is>
      </c>
      <c r="C9" s="3" t="inlineStr">
        <is>
          <t>SR; P</t>
        </is>
      </c>
      <c r="D9" s="3" t="inlineStr">
        <is>
          <t>1. Compare user_email on persona rows with Clerk</t>
        </is>
      </c>
      <c r="E9" s="3" t="inlineStr">
        <is>
          <t>Equal</t>
        </is>
      </c>
      <c r="F9" s="3" t="inlineStr">
        <is>
          <t>P2</t>
        </is>
      </c>
      <c r="G9" s="3" t="n"/>
      <c r="H9" s="3" t="inlineStr">
        <is>
          <t>DB-09</t>
        </is>
      </c>
      <c r="I9" s="3" t="inlineStr">
        <is>
          <t>tests/db/db-integrity.spec.ts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DBI-POL-001</t>
        </is>
      </c>
      <c r="B2" s="3" t="inlineStr">
        <is>
          <t>Row level security is on for every table</t>
        </is>
      </c>
      <c r="C2" s="3" t="inlineStr">
        <is>
          <t>Owner; QA then production</t>
        </is>
      </c>
      <c r="D2" s="3" t="inlineStr">
        <is>
          <t>1. Run: select c.relname, c.relrowsecurity, c.relforcerowsecurity from pg_class c join pg_namespace n on n.oid=c.relnamespace where n.nspname='public' and c.relkind='r' order by 1;</t>
        </is>
      </c>
      <c r="E2" s="3" t="inlineStr">
        <is>
          <t>relrowsecurity is true for all seven app tables and the cms_ tables</t>
        </is>
      </c>
      <c r="F2" s="3" t="inlineStr">
        <is>
          <t>P0</t>
        </is>
      </c>
      <c r="G2" s="3" t="n"/>
      <c r="H2" s="3" t="inlineStr">
        <is>
          <t>DB-12</t>
        </is>
      </c>
      <c r="I2" s="3" t="inlineStr">
        <is>
          <t>No (manual: run the SQL in the Supabase SQL editor, read-only SELECTs)</t>
        </is>
      </c>
    </row>
    <row r="3">
      <c r="A3" s="3" t="inlineStr">
        <is>
          <t>DBI-POL-002</t>
        </is>
      </c>
      <c r="B3" s="3" t="inlineStr">
        <is>
          <t>Policy list matches the intent</t>
        </is>
      </c>
      <c r="C3" s="3" t="inlineStr">
        <is>
          <t>Owner</t>
        </is>
      </c>
      <c r="D3" s="3" t="inlineStr">
        <is>
          <t>1. Run: select tablename, policyname, cmd, roles, qual, with_check from pg_policies where schemaname='public' order by tablename, cmd;</t>
        </is>
      </c>
      <c r="E3" s="3" t="inlineStr">
        <is>
          <t>No INSERT, UPDATE or DELETE policy for anon or authenticated on user_enrollments; no 'using (true)' write policy on any table (known failing: SCP-74, SCP-76)</t>
        </is>
      </c>
      <c r="F3" s="3" t="inlineStr">
        <is>
          <t>P0</t>
        </is>
      </c>
      <c r="G3" s="3" t="n"/>
      <c r="H3" s="3" t="inlineStr">
        <is>
          <t>DB-12</t>
        </is>
      </c>
      <c r="I3" s="3" t="inlineStr">
        <is>
          <t>No (manual: run the SQL in the Supabase SQL editor, read-only SELECTs)</t>
        </is>
      </c>
    </row>
    <row r="4">
      <c r="A4" s="3" t="inlineStr">
        <is>
          <t>DBI-POL-003</t>
        </is>
      </c>
      <c r="B4" s="3" t="inlineStr">
        <is>
          <t>Table grants for the public roles</t>
        </is>
      </c>
      <c r="C4" s="3" t="inlineStr">
        <is>
          <t>Owner</t>
        </is>
      </c>
      <c r="D4" s="3" t="inlineStr">
        <is>
          <t>1. Run: select table_name, grantee, privilege_type from information_schema.role_table_grants where table_schema='public' and grantee in ('anon','authenticated') order by 1,2,3;</t>
        </is>
      </c>
      <c r="E4" s="3" t="inlineStr">
        <is>
          <t>Only SELECT where the browser needs it; no INSERT/UPDATE/DELETE/TRUNCATE on user_enrollments (runbook step 2)</t>
        </is>
      </c>
      <c r="F4" s="3" t="inlineStr">
        <is>
          <t>P0</t>
        </is>
      </c>
      <c r="G4" s="3" t="n"/>
      <c r="H4" s="3" t="inlineStr">
        <is>
          <t>DB-12</t>
        </is>
      </c>
      <c r="I4" s="3" t="inlineStr">
        <is>
          <t>No (manual: run the SQL in the Supabase SQL editor, read-only SELECTs)</t>
        </is>
      </c>
    </row>
    <row r="5">
      <c r="A5" s="3" t="inlineStr">
        <is>
          <t>DBI-POL-004</t>
        </is>
      </c>
      <c r="B5" s="3" t="inlineStr">
        <is>
          <t>Unique constraints and indexes exist</t>
        </is>
      </c>
      <c r="C5" s="3" t="inlineStr">
        <is>
          <t>Owner</t>
        </is>
      </c>
      <c r="D5" s="3" t="inlineStr">
        <is>
          <t>1. Run: select tablename, indexname, indexdef from pg_indexes where schemaname='public' order by 1,2;</t>
        </is>
      </c>
      <c r="E5" s="3" t="inlineStr">
        <is>
          <t>Unique (user_id, course_slug) on user_enrollments (missing today, SCP-44); the progress unique keys; an index on user_id (and course_slug) for every table that is filtered by user</t>
        </is>
      </c>
      <c r="F5" s="3" t="inlineStr">
        <is>
          <t>P0</t>
        </is>
      </c>
      <c r="G5" s="3" t="n"/>
      <c r="H5" s="3" t="inlineStr">
        <is>
          <t>DB-13</t>
        </is>
      </c>
      <c r="I5" s="3" t="inlineStr">
        <is>
          <t>No (manual: run the SQL in the Supabase SQL editor, read-only SELECTs)</t>
        </is>
      </c>
    </row>
    <row r="6">
      <c r="A6" s="3" t="inlineStr">
        <is>
          <t>DBI-POL-005</t>
        </is>
      </c>
      <c r="B6" s="3" t="inlineStr">
        <is>
          <t>Policies are tied to the signed-in learner</t>
        </is>
      </c>
      <c r="C6" s="3" t="inlineStr">
        <is>
          <t>Owner</t>
        </is>
      </c>
      <c r="D6" s="3" t="inlineStr">
        <is>
          <t>1. Read qual and with_check of every policy from POL-002 and look for auth.jwt() -&gt;&gt; 'sub' (Clerk id) or another per-user rule</t>
        </is>
      </c>
      <c r="E6" s="3" t="inlineStr">
        <is>
          <t>Learner rows are limited to the caller's own user_id (needs Clerk as a Supabase third-party auth provider). Today the rules are 'true', so every learner can read and write every row</t>
        </is>
      </c>
      <c r="F6" s="3" t="inlineStr">
        <is>
          <t>P0</t>
        </is>
      </c>
      <c r="G6" s="3" t="n"/>
      <c r="H6" s="3" t="inlineStr">
        <is>
          <t>DB-12</t>
        </is>
      </c>
      <c r="I6" s="3" t="inlineStr">
        <is>
          <t>No (manual: run the SQL in the Supabase SQL editor, read-only SELECTs)</t>
        </is>
      </c>
    </row>
    <row r="7">
      <c r="A7" s="3" t="inlineStr">
        <is>
          <t>DBI-POL-006</t>
        </is>
      </c>
      <c r="B7" s="3" t="inlineStr">
        <is>
          <t>Functions and views exposed to the API</t>
        </is>
      </c>
      <c r="C7" s="3" t="inlineStr">
        <is>
          <t>Owner</t>
        </is>
      </c>
      <c r="D7" s="3" t="inlineStr">
        <is>
          <t>1. Run: select routine_name, security_type from information_schema.routines where routine_schema='public'; and: select table_name from information_schema.views where table_schema='public';</t>
        </is>
      </c>
      <c r="E7" s="3" t="inlineStr">
        <is>
          <t>No SECURITY DEFINER function callable by anon; the leaderboard (names and points only) exposed through a view or route instead of user_stats with e-mail</t>
        </is>
      </c>
      <c r="F7" s="3" t="inlineStr">
        <is>
          <t>P1</t>
        </is>
      </c>
      <c r="G7" s="3" t="n"/>
      <c r="H7" s="3" t="inlineStr">
        <is>
          <t>DB-12</t>
        </is>
      </c>
      <c r="I7" s="3" t="inlineStr">
        <is>
          <t>No (manual: run the SQL in the Supabase SQL editor, read-only SELECTs)</t>
        </is>
      </c>
    </row>
    <row r="8">
      <c r="A8" s="3" t="inlineStr">
        <is>
          <t>DBI-POL-007</t>
        </is>
      </c>
      <c r="B8" s="3" t="inlineStr">
        <is>
          <t>Unused cms_ tables</t>
        </is>
      </c>
      <c r="C8" s="3" t="inlineStr">
        <is>
          <t>Owner</t>
        </is>
      </c>
      <c r="D8" s="3" t="inlineStr">
        <is>
          <t>1. Run: select 'cms_courses', count(*) from cms_courses union all select 'cms_curriculum', count(*) from cms_curriculum union all select 'cms_coupons', count(*) from cms_coupons; 2. Search the code for cms_ (none today)</t>
        </is>
      </c>
      <c r="E8" s="3" t="inlineStr">
        <is>
          <t>A decision is recorded: drop them, or lock them to the service role. cms_coupons must never hold real coupon rules readable by anon</t>
        </is>
      </c>
      <c r="F8" s="3" t="inlineStr">
        <is>
          <t>P1</t>
        </is>
      </c>
      <c r="G8" s="3" t="n"/>
      <c r="H8" s="3" t="inlineStr">
        <is>
          <t>DB-14</t>
        </is>
      </c>
      <c r="I8" s="3" t="inlineStr">
        <is>
          <t>No (manual: run the SQL in the Supabase SQL editor, read-only SELECTs)</t>
        </is>
      </c>
    </row>
    <row r="9">
      <c r="A9" s="3" t="inlineStr">
        <is>
          <t>DBI-POL-008</t>
        </is>
      </c>
      <c r="B9" s="3" t="inlineStr">
        <is>
          <t>Orphan rows</t>
        </is>
      </c>
      <c r="C9" s="3" t="inlineStr">
        <is>
          <t>Owner</t>
        </is>
      </c>
      <c r="D9" s="3" t="inlineStr">
        <is>
          <t>1. Run: select count(*) from video_progress v left join user_stats s using (user_id) where s.user_id is null; and the same for assignment_progress and exam_progress; and enrolments with a course_slug that is not in the catalog</t>
        </is>
      </c>
      <c r="E9" s="3" t="inlineStr">
        <is>
          <t>Counts are known and explained (no foreign keys exist because user ids come from Clerk); no rows for deleted learners</t>
        </is>
      </c>
      <c r="F9" s="3" t="inlineStr">
        <is>
          <t>P2</t>
        </is>
      </c>
      <c r="G9" s="3" t="n"/>
      <c r="H9" s="3" t="inlineStr">
        <is>
          <t>DB-14</t>
        </is>
      </c>
      <c r="I9" s="3" t="inlineStr">
        <is>
          <t>No (manual: run the SQL in the Supabase SQL editor, read-only SELECTs)</t>
        </is>
      </c>
    </row>
    <row r="10">
      <c r="A10" s="3" t="inlineStr">
        <is>
          <t>DBI-POL-009</t>
        </is>
      </c>
      <c r="B10" s="3" t="inlineStr">
        <is>
          <t>Realtime publications</t>
        </is>
      </c>
      <c r="C10" s="3" t="inlineStr">
        <is>
          <t>Owner</t>
        </is>
      </c>
      <c r="D10" s="3" t="inlineStr">
        <is>
          <t>1. Run: select * from pg_publication_tables where schemaname='public';</t>
        </is>
      </c>
      <c r="E10" s="3" t="inlineStr">
        <is>
          <t>No learner table is published to Realtime for the anon role</t>
        </is>
      </c>
      <c r="F10" s="3" t="inlineStr">
        <is>
          <t>P1</t>
        </is>
      </c>
      <c r="G10" s="3" t="n"/>
      <c r="H10" s="3" t="inlineStr">
        <is>
          <t>DB-12</t>
        </is>
      </c>
      <c r="I10" s="3" t="inlineStr">
        <is>
          <t>No (manual: run the SQL in the Supabase SQL editor, read-only SELECTs)</t>
        </is>
      </c>
    </row>
    <row r="11">
      <c r="A11" s="3" t="inlineStr">
        <is>
          <t>DBI-POL-010</t>
        </is>
      </c>
      <c r="B11" s="3" t="inlineStr">
        <is>
          <t>Storage buckets</t>
        </is>
      </c>
      <c r="C11" s="3" t="inlineStr">
        <is>
          <t>Owner</t>
        </is>
      </c>
      <c r="D11" s="3" t="inlineStr">
        <is>
          <t>1. Run: select id, public from storage.buckets;</t>
        </is>
      </c>
      <c r="E11" s="3" t="inlineStr">
        <is>
          <t>No public bucket holds private data (none expected: the app uses no Supabase Storage)</t>
        </is>
      </c>
      <c r="F11" s="3" t="inlineStr">
        <is>
          <t>P2</t>
        </is>
      </c>
      <c r="G11" s="3" t="n"/>
      <c r="H11" s="3" t="inlineStr">
        <is>
          <t>DB-12</t>
        </is>
      </c>
      <c r="I11" s="3" t="inlineStr">
        <is>
          <t>No (manual: run the SQL in the Supabase SQL editor, read-only SELECTs)</t>
        </is>
      </c>
    </row>
    <row r="12">
      <c r="A12" s="3" t="inlineStr">
        <is>
          <t>DBI-POL-011</t>
        </is>
      </c>
      <c r="B12" s="3" t="inlineStr">
        <is>
          <t>The service-role key is not in the browser bundle</t>
        </is>
      </c>
      <c r="C12" s="3" t="inlineStr">
        <is>
          <t>A production build exists (.next-prod)</t>
        </is>
      </c>
      <c r="D12" s="3" t="inlineStr">
        <is>
          <t>1. Search the built static JavaScript for the service-role key and for the string service_role</t>
        </is>
      </c>
      <c r="E12" s="3" t="inlineStr">
        <is>
          <t>Not found; only the anon key is in client code</t>
        </is>
      </c>
      <c r="F12" s="3" t="inlineStr">
        <is>
          <t>P0</t>
        </is>
      </c>
      <c r="G12" s="3" t="n"/>
      <c r="H12" s="3" t="inlineStr">
        <is>
          <t>DB-15</t>
        </is>
      </c>
      <c r="I12" s="3" t="inlineStr">
        <is>
          <t>tests/db/db-integrity.spec.ts (needs a production build; skips otherwise)</t>
        </is>
      </c>
    </row>
    <row r="13">
      <c r="A13" s="3" t="inlineStr">
        <is>
          <t>DBI-POL-012</t>
        </is>
      </c>
      <c r="B13" s="3" t="inlineStr">
        <is>
          <t>Backups and recovery</t>
        </is>
      </c>
      <c r="C13" s="3" t="inlineStr">
        <is>
          <t>Owner</t>
        </is>
      </c>
      <c r="D13" s="3" t="inlineStr">
        <is>
          <t>1. Supabase dashboard &gt; Database &gt; Backups: check daily backups or point-in-time recovery, the retention period and the date of the last restore test</t>
        </is>
      </c>
      <c r="E13" s="3" t="inlineStr">
        <is>
          <t>Backups are on; retention known; one restore into a scratch project has been done and timed</t>
        </is>
      </c>
      <c r="F13" s="3" t="inlineStr">
        <is>
          <t>P1</t>
        </is>
      </c>
      <c r="G13" s="3" t="n"/>
      <c r="H13" s="3" t="inlineStr">
        <is>
          <t>DB-16</t>
        </is>
      </c>
      <c r="I13" s="3" t="inlineStr">
        <is>
          <t>No (manual: run the SQL in the Supabase SQL editor, read-only SELECTs)</t>
        </is>
      </c>
    </row>
    <row r="14">
      <c r="A14" s="3" t="inlineStr">
        <is>
          <t>DBI-POL-013</t>
        </is>
      </c>
      <c r="B14" s="3" t="inlineStr">
        <is>
          <t>Extensions and versions</t>
        </is>
      </c>
      <c r="C14" s="3" t="inlineStr">
        <is>
          <t>Owner</t>
        </is>
      </c>
      <c r="D14" s="3" t="inlineStr">
        <is>
          <t>1. Run: select extname, extversion from pg_extension order by 1;</t>
        </is>
      </c>
      <c r="E14" s="3" t="inlineStr">
        <is>
          <t>uuid-ossp is present (the id defaults use extensions.uuid_generate_v4()); versions are recorded; nothing unexpected</t>
        </is>
      </c>
      <c r="F14" s="3" t="inlineStr">
        <is>
          <t>P2</t>
        </is>
      </c>
      <c r="G14" s="3" t="n"/>
      <c r="H14" s="3" t="inlineStr">
        <is>
          <t>DB-14</t>
        </is>
      </c>
      <c r="I14" s="3" t="inlineStr">
        <is>
          <t>No (manual: run the SQL in the Supabase SQL editor, read-only SELECTs)</t>
        </is>
      </c>
    </row>
    <row r="15">
      <c r="A15" s="3" t="inlineStr">
        <is>
          <t>DBI-POL-014</t>
        </is>
      </c>
      <c r="B15" s="3" t="inlineStr">
        <is>
          <t>Re-test after the hardening runbook</t>
        </is>
      </c>
      <c r="C15" s="3" t="inlineStr">
        <is>
          <t>Owner has run steps 1 and 2 of docs/SUPABASE_HARDENING.md</t>
        </is>
      </c>
      <c r="D15" s="3" t="inlineStr">
        <is>
          <t>1. Run the database spec: npx playwright test tests/db 2. Run POL-002 and POL-003 again</t>
        </is>
      </c>
      <c r="E15" s="3" t="inlineStr">
        <is>
          <t>DBI-CON-005, DBI-ACC-001 and DBI-ACC-002 now pass; the checkout, enrolment and admin specs still pass (writes go through the server)</t>
        </is>
      </c>
      <c r="F15" s="3" t="inlineStr">
        <is>
          <t>P0</t>
        </is>
      </c>
      <c r="G15" s="3" t="n"/>
      <c r="H15" s="3" t="inlineStr">
        <is>
          <t>DB-12</t>
        </is>
      </c>
      <c r="I15" s="3" t="inlineStr">
        <is>
          <t>No (manual: run the SQL in the Supabase SQL editor, read-only SELECTs)</t>
        </is>
      </c>
    </row>
    <row r="16">
      <c r="A16" s="3" t="inlineStr">
        <is>
          <t>DBI-POL-015</t>
        </is>
      </c>
      <c r="B16" s="3" t="inlineStr">
        <is>
          <t>QA matches production</t>
        </is>
      </c>
      <c r="C16" s="3" t="inlineStr">
        <is>
          <t>Owner; read-only access to production</t>
        </is>
      </c>
      <c r="D16" s="3" t="inlineStr">
        <is>
          <t>1. Run POL-001 to POL-004 on production and on QA and compare the output</t>
        </is>
      </c>
      <c r="E16" s="3" t="inlineStr">
        <is>
          <t>The same policies, grants, constraints and indexes; every difference is explained. Never run write tests on production</t>
        </is>
      </c>
      <c r="F16" s="3" t="inlineStr">
        <is>
          <t>P0</t>
        </is>
      </c>
      <c r="G16" s="3" t="n"/>
      <c r="H16" s="3" t="inlineStr">
        <is>
          <t>DB-15</t>
        </is>
      </c>
      <c r="I16" s="3" t="inlineStr">
        <is>
          <t>No (manual: run the SQL in the Supabase SQL editor, read-only SELECTs)</t>
        </is>
      </c>
    </row>
    <row r="17">
      <c r="A17" s="3" t="inlineStr">
        <is>
          <t>DBI-POL-016</t>
        </is>
      </c>
      <c r="B17" s="3" t="inlineStr">
        <is>
          <t>Delete one learner's data</t>
        </is>
      </c>
      <c r="C17" s="3" t="inlineStr">
        <is>
          <t>A throw-away learner with rows in every table</t>
        </is>
      </c>
      <c r="D17" s="3" t="inlineStr">
        <is>
          <t>1. Delete the learner's rows by user_id from the seven tables 2. Count rows left for that user_id</t>
        </is>
      </c>
      <c r="E17" s="3" t="inlineStr">
        <is>
          <t>No row remains; nothing else changes. A deletion procedure and a retention period for e-mail addresses and submitted code are written down</t>
        </is>
      </c>
      <c r="F17" s="3" t="inlineStr">
        <is>
          <t>P1</t>
        </is>
      </c>
      <c r="G17" s="3" t="n"/>
      <c r="H17" s="3" t="inlineStr">
        <is>
          <t>DB-16</t>
        </is>
      </c>
      <c r="I17" s="3" t="inlineStr">
        <is>
          <t>No (manual: run the SQL in the Supabase SQL editor, read-only SELECTs)</t>
        </is>
      </c>
    </row>
    <row r="18">
      <c r="F18" s="4" t="inlineStr">
        <is>
          <t>Coverage</t>
        </is>
      </c>
      <c r="G18" s="6">
        <f>IF(COUNTA(A2:A17)=0,0,(COUNTIF(G2:G17,"Passed")+COUNTIF(G2:G17,"Failed")+COUNTIF(G2:G17,"NA"))/COUNTA(A2:A17))</f>
        <v/>
      </c>
    </row>
  </sheetData>
  <conditionalFormatting sqref="G2:G1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FR1-FR3 — Schema</t>
        </is>
      </c>
      <c r="B2" s="6">
        <f>'Schema'!G8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FR4-FR5 — Constraints</t>
        </is>
      </c>
      <c r="B3" s="6">
        <f>'Constraints'!G8</f>
        <v/>
      </c>
      <c r="D3" t="inlineStr">
        <is>
          <t>Passed</t>
        </is>
      </c>
      <c r="E3">
        <f>COUNTIF('Schema'!G2:G7, "Passed") + COUNTIF('Constraints'!G2:G7, "Passed") + COUNTIF('Access with the Public Key'!G2:G9, "Passed") + COUNTIF('Data Quality'!G2:G9, "Passed") + COUNTIF('Policy Inventory (manual)'!G2:G17, "Passed")</f>
        <v/>
      </c>
    </row>
    <row r="4">
      <c r="A4" t="inlineStr">
        <is>
          <t>FR6-FR8 — Access with the Public Key</t>
        </is>
      </c>
      <c r="B4" s="6">
        <f>'Access with the Public Key'!G10</f>
        <v/>
      </c>
      <c r="D4" t="inlineStr">
        <is>
          <t>Failed</t>
        </is>
      </c>
      <c r="E4">
        <f>COUNTIF('Schema'!G2:G7, "Failed") + COUNTIF('Constraints'!G2:G7, "Failed") + COUNTIF('Access with the Public Key'!G2:G9, "Failed") + COUNTIF('Data Quality'!G2:G9, "Failed") + COUNTIF('Policy Inventory (manual)'!G2:G17, "Failed")</f>
        <v/>
      </c>
    </row>
    <row r="5">
      <c r="A5" t="inlineStr">
        <is>
          <t>FR9-FR11 — Data Quality</t>
        </is>
      </c>
      <c r="B5" s="6">
        <f>'Data Quality'!G10</f>
        <v/>
      </c>
      <c r="D5" t="inlineStr">
        <is>
          <t>Not Applicable</t>
        </is>
      </c>
      <c r="E5">
        <f>COUNTIF('Schema'!G2:G7, "NA") + COUNTIF('Constraints'!G2:G7, "NA") + COUNTIF('Access with the Public Key'!G2:G9, "NA") + COUNTIF('Data Quality'!G2:G9, "NA") + COUNTIF('Policy Inventory (manual)'!G2:G17, "NA")</f>
        <v/>
      </c>
    </row>
    <row r="6">
      <c r="A6" t="inlineStr">
        <is>
          <t>FR12-FR14 — Policy Inventory (manual)</t>
        </is>
      </c>
      <c r="B6" s="6">
        <f>'Policy Inventory (manual)'!G18</f>
        <v/>
      </c>
      <c r="D6" t="inlineStr">
        <is>
          <t>Not Tested Yet</t>
        </is>
      </c>
      <c r="E6">
        <f>E7-E3-E4-E5</f>
        <v/>
      </c>
    </row>
    <row r="7">
      <c r="D7" t="inlineStr">
        <is>
          <t>Total Test Cases</t>
        </is>
      </c>
      <c r="E7">
        <f>COUNTA('Schema'!A2:A7) + COUNTA('Constraints'!A2:A7) + COUNTA('Access with the Public Key'!A2:A9) + COUNTA('Data Quality'!A2:A9) + COUNTA('Policy Inventory (manual)'!A2:A17)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2026-10-31T17:06:12Z</dcterms:created>
  <dcterms:modified xsi:type="dcterms:W3CDTF">2026-10-31T17:06:12Z</dcterms:modified>
</cp:coreProperties>
</file>