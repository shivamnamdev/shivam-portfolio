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Admin Gate and Page Load" sheetId="2" state="visible" r:id="rId2"/>
    <sheet name="KPI Cards" sheetId="3" state="visible" r:id="rId3"/>
    <sheet name="Directory and Enrollments" sheetId="4" state="visible" r:id="rId4"/>
    <sheet name="Progress Assignments and Engage" sheetId="5" state="visible" r:id="rId5"/>
    <sheet name="Manual Enrollment" sheetId="6" state="visible" r:id="rId6"/>
    <sheet name="Resilience and Empty States" sheetId="7" state="visible" r:id="rId7"/>
    <sheet name="Mobile Keyboard and Browsers" sheetId="8" state="visible" r:id="rId8"/>
    <sheet name="End-to-End Business-Critical" sheetId="9" state="visible" r:id="rId9"/>
    <sheet name="Traceability to Functional Requ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3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Anonymous visitor (not signed in)</t>
        </is>
      </c>
      <c r="C4" s="3" t="inlineStr">
        <is>
          <t>NA</t>
        </is>
      </c>
    </row>
    <row r="5">
      <c r="A5" s="3" t="inlineStr">
        <is>
          <t>A1</t>
        </is>
      </c>
      <c r="B5" s="3" t="inlineStr">
        <is>
          <t>Admin user (the only account allowed on /admin)</t>
        </is>
      </c>
      <c r="C5" s="3" t="inlineStr">
        <is>
          <t>shivamnamdev.corp@gmail.com</t>
        </is>
      </c>
    </row>
    <row r="6">
      <c r="A6" s="3" t="inlineStr">
        <is>
          <t>S1</t>
        </is>
      </c>
      <c r="B6" s="3" t="inlineStr">
        <is>
          <t>Learner enrolled in Course B (negative access; appears in the tables)</t>
        </is>
      </c>
      <c r="C6" s="3" t="inlineStr">
        <is>
          <t>financetrail.bazar@gmail.com</t>
        </is>
      </c>
    </row>
    <row r="7">
      <c r="A7" s="3" t="inlineStr">
        <is>
          <t>S2</t>
        </is>
      </c>
      <c r="B7" s="3" t="inlineStr">
        <is>
          <t>Learner enrolled in Course A (negative access; appears in the tables)</t>
        </is>
      </c>
      <c r="C7" s="3" t="inlineStr">
        <is>
          <t>mavish.ps8@gmail.com</t>
        </is>
      </c>
    </row>
    <row r="8">
      <c r="A8" s="3" t="inlineStr">
        <is>
          <t>U1</t>
        </is>
      </c>
      <c r="B8" s="3" t="inlineStr">
        <is>
          <t>Learner with no enrolments: the target of manual enrollment (its row is removed after each test)</t>
        </is>
      </c>
      <c r="C8" s="3" t="inlineStr">
        <is>
          <t>shivamnamdev.edu@gmail.com</t>
        </is>
      </c>
    </row>
    <row r="9">
      <c r="A9" s="3" t="inlineStr">
        <is>
          <t>CF</t>
        </is>
      </c>
      <c r="B9" s="3" t="inlineStr">
        <is>
          <t>QA fixture course (qa-checkout-sandbox), used as the course granted by hand</t>
        </is>
      </c>
      <c r="C9" s="3" t="inlineStr">
        <is>
          <t>qa-checkout-sandbox</t>
        </is>
      </c>
    </row>
    <row r="10">
      <c r="A10" s="3" t="inlineStr">
        <is>
          <t>ID1</t>
        </is>
      </c>
      <c r="B10" s="3" t="inlineStr">
        <is>
          <t>Clerk user id of U1 (copy from the Directory tab or Clerk dashboard)</t>
        </is>
      </c>
      <c r="C10" s="3" t="inlineStr">
        <is>
          <t>user_3HqZ9LJ5SwgMYOdM4cnvqCPxPo4</t>
        </is>
      </c>
    </row>
    <row r="11">
      <c r="A11" s="3" t="inlineStr">
        <is>
          <t>ID2</t>
        </is>
      </c>
      <c r="B11" s="3" t="inlineStr">
        <is>
          <t>A syntactically valid but unknown Clerk id</t>
        </is>
      </c>
      <c r="C11" s="3" t="inlineStr">
        <is>
          <t>user_doesnotexist000000000000</t>
        </is>
      </c>
    </row>
    <row r="13">
      <c r="A13" s="4" t="inlineStr">
        <is>
          <t>Notes</t>
        </is>
      </c>
      <c r="B13" s="3" t="inlineStr">
        <is>
          <t>Compare KPIs before and after an action; never rely on absolute numbers on the shared QA project. Clean up: remove every enrolment, submission and activity row a case created. All data is from the QA project; never use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ADM-GATE-001</t>
        </is>
      </c>
      <c r="B2" s="3" t="inlineStr">
        <is>
          <t>Admin opens the portal</t>
        </is>
      </c>
      <c r="C2" s="3" t="inlineStr">
        <is>
          <t>A1 signed in</t>
        </is>
      </c>
      <c r="D2" s="3" t="inlineStr">
        <is>
          <t>1. Open /admin</t>
        </is>
      </c>
      <c r="E2" s="3" t="inlineStr">
        <is>
          <t>Spinner then 'Admin Command Center' with 'Authenticated as: shivamnamdev.corp@gmail.com'</t>
        </is>
      </c>
      <c r="F2" s="3" t="inlineStr">
        <is>
          <t>P0</t>
        </is>
      </c>
      <c r="G2" s="3" t="n"/>
      <c r="H2" s="3" t="inlineStr">
        <is>
          <t>AD-01</t>
        </is>
      </c>
      <c r="I2" s="3" t="inlineStr">
        <is>
          <t>admin (tests/ui/auth/access-control.spec.ts)</t>
        </is>
      </c>
    </row>
    <row r="3">
      <c r="A3" s="3" t="inlineStr">
        <is>
          <t>ADM-GATE-002</t>
        </is>
      </c>
      <c r="B3" s="3" t="inlineStr">
        <is>
          <t>Learner is redirected</t>
        </is>
      </c>
      <c r="C3" s="3" t="inlineStr">
        <is>
          <t>S2 signed in</t>
        </is>
      </c>
      <c r="D3" s="3" t="inlineStr">
        <is>
          <t>1. Open /admin</t>
        </is>
      </c>
      <c r="E3" s="3" t="inlineStr">
        <is>
          <t>Redirected to /learning; no admin text rendered</t>
        </is>
      </c>
      <c r="F3" s="3" t="inlineStr">
        <is>
          <t>P0</t>
        </is>
      </c>
      <c r="G3" s="3" t="n"/>
      <c r="H3" s="3" t="inlineStr">
        <is>
          <t>AD-02</t>
        </is>
      </c>
      <c r="I3" s="3" t="inlineStr">
        <is>
          <t>admin denied (tests/ui/auth/access-control.spec.ts)</t>
        </is>
      </c>
    </row>
    <row r="4">
      <c r="A4" s="3" t="inlineStr">
        <is>
          <t>ADM-GATE-003</t>
        </is>
      </c>
      <c r="B4" s="3" t="inlineStr">
        <is>
          <t>Visitor is turned away</t>
        </is>
      </c>
      <c r="C4" s="3" t="inlineStr">
        <is>
          <t>V1</t>
        </is>
      </c>
      <c r="D4" s="3" t="inlineStr">
        <is>
          <t>1. Open /admin</t>
        </is>
      </c>
      <c r="E4" s="3" t="inlineStr">
        <is>
          <t>Sign-in or home page; no admin content</t>
        </is>
      </c>
      <c r="F4" s="3" t="inlineStr">
        <is>
          <t>P0</t>
        </is>
      </c>
      <c r="G4" s="3" t="n"/>
      <c r="H4" s="3" t="inlineStr">
        <is>
          <t>AD-03</t>
        </is>
      </c>
      <c r="I4" s="3" t="inlineStr">
        <is>
          <t>route-protection.spec.ts</t>
        </is>
      </c>
    </row>
    <row r="5">
      <c r="A5" s="3" t="inlineStr">
        <is>
          <t>ADM-GATE-004</t>
        </is>
      </c>
      <c r="B5" s="3" t="inlineStr">
        <is>
          <t>Spinner before the data</t>
        </is>
      </c>
      <c r="C5" s="3" t="inlineStr">
        <is>
          <t>A1; slow network</t>
        </is>
      </c>
      <c r="D5" s="3" t="inlineStr">
        <is>
          <t>1. Open /admin</t>
        </is>
      </c>
      <c r="E5" s="3" t="inlineStr">
        <is>
          <t>Spinner is shown, then the portal</t>
        </is>
      </c>
      <c r="F5" s="3" t="inlineStr">
        <is>
          <t>P1</t>
        </is>
      </c>
      <c r="G5" s="3" t="n"/>
      <c r="H5" s="3" t="inlineStr">
        <is>
          <t>AD-05</t>
        </is>
      </c>
      <c r="I5" s="3" t="inlineStr">
        <is>
          <t>No</t>
        </is>
      </c>
    </row>
    <row r="6">
      <c r="A6" s="3" t="inlineStr">
        <is>
          <t>ADM-GATE-005</t>
        </is>
      </c>
      <c r="B6" s="3" t="inlineStr">
        <is>
          <t>No console errors on load</t>
        </is>
      </c>
      <c r="C6" s="3" t="inlineStr">
        <is>
          <t>A1; console open</t>
        </is>
      </c>
      <c r="D6" s="3" t="inlineStr">
        <is>
          <t>1. Open /admin</t>
        </is>
      </c>
      <c r="E6" s="3" t="inlineStr">
        <is>
          <t>No uncaught exceptions</t>
        </is>
      </c>
      <c r="F6" s="3" t="inlineStr">
        <is>
          <t>P1</t>
        </is>
      </c>
      <c r="G6" s="3" t="n"/>
      <c r="H6" s="3" t="inlineStr">
        <is>
          <t>AD-05</t>
        </is>
      </c>
      <c r="I6" s="3" t="inlineStr">
        <is>
          <t>No</t>
        </is>
      </c>
    </row>
    <row r="7">
      <c r="A7" s="3" t="inlineStr">
        <is>
          <t>ADM-GATE-006</t>
        </is>
      </c>
      <c r="B7" s="3" t="inlineStr">
        <is>
          <t>Admin API get-all-users refuses a learner</t>
        </is>
      </c>
      <c r="C7" s="3" t="inlineStr">
        <is>
          <t>S2 signed in</t>
        </is>
      </c>
      <c r="D7" s="3" t="inlineStr">
        <is>
          <t>1. GET /api/get-all-users</t>
        </is>
      </c>
      <c r="E7" s="3" t="inlineStr">
        <is>
          <t>403 Forbidden; no user list</t>
        </is>
      </c>
      <c r="F7" s="3" t="inlineStr">
        <is>
          <t>P0</t>
        </is>
      </c>
      <c r="G7" s="3" t="n"/>
      <c r="H7" s="3" t="inlineStr">
        <is>
          <t>AD-35</t>
        </is>
      </c>
      <c r="I7" s="3" t="inlineStr">
        <is>
          <t>No</t>
        </is>
      </c>
    </row>
    <row r="8">
      <c r="A8" s="3" t="inlineStr">
        <is>
          <t>ADM-GATE-007</t>
        </is>
      </c>
      <c r="B8" s="3" t="inlineStr">
        <is>
          <t>Admin API get-all-users refuses a visitor</t>
        </is>
      </c>
      <c r="C8" s="3" t="inlineStr">
        <is>
          <t>V1</t>
        </is>
      </c>
      <c r="D8" s="3" t="inlineStr">
        <is>
          <t>1. GET /api/get-all-users</t>
        </is>
      </c>
      <c r="E8" s="3" t="inlineStr">
        <is>
          <t>401 Unauthorized</t>
        </is>
      </c>
      <c r="F8" s="3" t="inlineStr">
        <is>
          <t>P0</t>
        </is>
      </c>
      <c r="G8" s="3" t="n"/>
      <c r="H8" s="3" t="inlineStr">
        <is>
          <t>AD-35</t>
        </is>
      </c>
      <c r="I8" s="3" t="inlineStr">
        <is>
          <t>tests/api (anonymous rejection)</t>
        </is>
      </c>
    </row>
    <row r="9">
      <c r="A9" s="3" t="inlineStr">
        <is>
          <t>ADM-GATE-008</t>
        </is>
      </c>
      <c r="B9" s="3" t="inlineStr">
        <is>
          <t>Admin API admin/enroll refuses a learner</t>
        </is>
      </c>
      <c r="C9" s="3" t="inlineStr">
        <is>
          <t>S2 signed in</t>
        </is>
      </c>
      <c r="D9" s="3" t="inlineStr">
        <is>
          <t>1. POST /api/admin/enroll with a valid body</t>
        </is>
      </c>
      <c r="E9" s="3" t="inlineStr">
        <is>
          <t>403; no enrolment created</t>
        </is>
      </c>
      <c r="F9" s="3" t="inlineStr">
        <is>
          <t>P0</t>
        </is>
      </c>
      <c r="G9" s="3" t="n"/>
      <c r="H9" s="3" t="inlineStr">
        <is>
          <t>AD-36</t>
        </is>
      </c>
      <c r="I9" s="3" t="inlineStr">
        <is>
          <t>No</t>
        </is>
      </c>
    </row>
    <row r="10">
      <c r="A10" s="3" t="inlineStr">
        <is>
          <t>ADM-GATE-009</t>
        </is>
      </c>
      <c r="B10" s="3" t="inlineStr">
        <is>
          <t>Admin API admin/enroll refuses a visitor</t>
        </is>
      </c>
      <c r="C10" s="3" t="inlineStr">
        <is>
          <t>V1</t>
        </is>
      </c>
      <c r="D10" s="3" t="inlineStr">
        <is>
          <t>1. POST /api/admin/enroll</t>
        </is>
      </c>
      <c r="E10" s="3" t="inlineStr">
        <is>
          <t>401; no enrolment</t>
        </is>
      </c>
      <c r="F10" s="3" t="inlineStr">
        <is>
          <t>P0</t>
        </is>
      </c>
      <c r="G10" s="3" t="n"/>
      <c r="H10" s="3" t="inlineStr">
        <is>
          <t>AD-36</t>
        </is>
      </c>
      <c r="I10" s="3" t="inlineStr">
        <is>
          <t>tests/api (anonymous rejection)</t>
        </is>
      </c>
    </row>
    <row r="11">
      <c r="A11" s="3" t="inlineStr">
        <is>
          <t>ADM-GATE-010</t>
        </is>
      </c>
      <c r="B11" s="3" t="inlineStr">
        <is>
          <t>A learner cannot grant themselves a course</t>
        </is>
      </c>
      <c r="C11" s="3" t="inlineStr">
        <is>
          <t>S2; forged body {userId: S2, courseSlug: CF}</t>
        </is>
      </c>
      <c r="D11" s="3" t="inlineStr">
        <is>
          <t>1. POST /api/admin/enroll</t>
        </is>
      </c>
      <c r="E11" s="3" t="inlineStr">
        <is>
          <t>403; no row</t>
        </is>
      </c>
      <c r="F11" s="3" t="inlineStr">
        <is>
          <t>P0</t>
        </is>
      </c>
      <c r="G11" s="3" t="n"/>
      <c r="H11" s="3" t="inlineStr">
        <is>
          <t>AD-37</t>
        </is>
      </c>
      <c r="I11" s="3" t="inlineStr">
        <is>
          <t>No</t>
        </is>
      </c>
    </row>
    <row r="12">
      <c r="A12" s="3" t="inlineStr">
        <is>
          <t>ADM-GATE-011</t>
        </is>
      </c>
      <c r="B12" s="3" t="inlineStr">
        <is>
          <t>Mixed-case admin email</t>
        </is>
      </c>
      <c r="C12" s="3" t="inlineStr">
        <is>
          <t>A1 account with email in mixed case (if available)</t>
        </is>
      </c>
      <c r="D12" s="3" t="inlineStr">
        <is>
          <t>1. Open /admin</t>
        </is>
      </c>
      <c r="E12" s="3" t="inlineStr">
        <is>
          <t>Portal opens (server check is case-insensitive; page check is case-sensitive: known gap R-AD-6)</t>
        </is>
      </c>
      <c r="F12" s="3" t="inlineStr">
        <is>
          <t>P2</t>
        </is>
      </c>
      <c r="G12" s="3" t="n"/>
      <c r="H12" s="3" t="inlineStr">
        <is>
          <t>AD-40</t>
        </is>
      </c>
      <c r="I12" s="3" t="inlineStr">
        <is>
          <t>No</t>
        </is>
      </c>
    </row>
    <row r="13">
      <c r="A13" s="3" t="inlineStr">
        <is>
          <t>ADM-GATE-012</t>
        </is>
      </c>
      <c r="B13" s="3" t="inlineStr">
        <is>
          <t>No admin link in the navigation</t>
        </is>
      </c>
      <c r="C13" s="3" t="inlineStr">
        <is>
          <t>A1</t>
        </is>
      </c>
      <c r="D13" s="3" t="inlineStr">
        <is>
          <t>1. Look for an Admin link</t>
        </is>
      </c>
      <c r="E13" s="3" t="inlineStr">
        <is>
          <t>None (known: SCP-41)</t>
        </is>
      </c>
      <c r="F13" s="3" t="inlineStr">
        <is>
          <t>P2</t>
        </is>
      </c>
      <c r="G13" s="3" t="n"/>
      <c r="H13" s="3" t="inlineStr">
        <is>
          <t>AD-01</t>
        </is>
      </c>
      <c r="I13" s="3" t="inlineStr">
        <is>
          <t>AUTH-UI-004 (tests/ui/auth/access-control.spec.ts)</t>
        </is>
      </c>
    </row>
    <row r="14">
      <c r="F14" s="4" t="inlineStr">
        <is>
          <t>Coverage</t>
        </is>
      </c>
      <c r="G14" s="6">
        <f>IF(COUNTA(A2:A13)=0,0,(COUNTIF(G2:G13,"Passed")+COUNTIF(G2:G13,"Failed")+COUNTIF(G2:G13,"NA"))/COUNTA(A2:A13))</f>
        <v/>
      </c>
    </row>
  </sheetData>
  <conditionalFormatting sqref="G2:G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3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ADM-KPI-001</t>
        </is>
      </c>
      <c r="B2" s="3" t="inlineStr">
        <is>
          <t>Three KPI cards are shown</t>
        </is>
      </c>
      <c r="C2" s="3" t="inlineStr">
        <is>
          <t>A1</t>
        </is>
      </c>
      <c r="D2" s="3" t="inlineStr">
        <is>
          <t>1. Read the cards</t>
        </is>
      </c>
      <c r="E2" s="3" t="inlineStr">
        <is>
          <t>'Total Leads (CRM)', 'Enrollments', 'Coupons Used' with numbers</t>
        </is>
      </c>
      <c r="F2" s="3" t="inlineStr">
        <is>
          <t>P0</t>
        </is>
      </c>
      <c r="G2" s="3" t="n"/>
      <c r="H2" s="3" t="inlineStr">
        <is>
          <t>AD-04/06</t>
        </is>
      </c>
      <c r="I2" s="3" t="inlineStr">
        <is>
          <t>No</t>
        </is>
      </c>
    </row>
    <row r="3">
      <c r="A3" s="3" t="inlineStr">
        <is>
          <t>ADM-KPI-002</t>
        </is>
      </c>
      <c r="B3" s="3" t="inlineStr">
        <is>
          <t>Total Leads equals the Clerk user count</t>
        </is>
      </c>
      <c r="C3" s="3" t="inlineStr">
        <is>
          <t>A1; Clerk user list</t>
        </is>
      </c>
      <c r="D3" s="3" t="inlineStr">
        <is>
          <t>1. Compare the card with the Clerk dashboard / Directory tab rows</t>
        </is>
      </c>
      <c r="E3" s="3" t="inlineStr">
        <is>
          <t>Numbers are equal</t>
        </is>
      </c>
      <c r="F3" s="3" t="inlineStr">
        <is>
          <t>P0</t>
        </is>
      </c>
      <c r="G3" s="3" t="n"/>
      <c r="H3" s="3" t="inlineStr">
        <is>
          <t>AD-06</t>
        </is>
      </c>
      <c r="I3" s="3" t="inlineStr">
        <is>
          <t>No</t>
        </is>
      </c>
    </row>
    <row r="4">
      <c r="A4" s="3" t="inlineStr">
        <is>
          <t>ADM-KPI-003</t>
        </is>
      </c>
      <c r="B4" s="3" t="inlineStr">
        <is>
          <t>Enrollments equals the enrollment total</t>
        </is>
      </c>
      <c r="C4" s="3" t="inlineStr">
        <is>
          <t>A1; QA database</t>
        </is>
      </c>
      <c r="D4" s="3" t="inlineStr">
        <is>
          <t>1. Compare the card with the row count of user_enrollments</t>
        </is>
      </c>
      <c r="E4" s="3" t="inlineStr">
        <is>
          <t>Numbers are equal</t>
        </is>
      </c>
      <c r="F4" s="3" t="inlineStr">
        <is>
          <t>P0</t>
        </is>
      </c>
      <c r="G4" s="3" t="n"/>
      <c r="H4" s="3" t="inlineStr">
        <is>
          <t>AD-07</t>
        </is>
      </c>
      <c r="I4" s="3" t="inlineStr">
        <is>
          <t>No</t>
        </is>
      </c>
    </row>
    <row r="5">
      <c r="A5" s="3" t="inlineStr">
        <is>
          <t>ADM-KPI-004</t>
        </is>
      </c>
      <c r="B5" s="3" t="inlineStr">
        <is>
          <t>Coupons Used equals enrollments with a coupon</t>
        </is>
      </c>
      <c r="C5" s="3" t="inlineStr">
        <is>
          <t>A1</t>
        </is>
      </c>
      <c r="D5" s="3" t="inlineStr">
        <is>
          <t>1. Count rows with a coupon in the Enrollments tab</t>
        </is>
      </c>
      <c r="E5" s="3" t="inlineStr">
        <is>
          <t>Equal to the card</t>
        </is>
      </c>
      <c r="F5" s="3" t="inlineStr">
        <is>
          <t>P1</t>
        </is>
      </c>
      <c r="G5" s="3" t="n"/>
      <c r="H5" s="3" t="inlineStr">
        <is>
          <t>AD-08</t>
        </is>
      </c>
      <c r="I5" s="3" t="inlineStr">
        <is>
          <t>No</t>
        </is>
      </c>
    </row>
    <row r="6">
      <c r="A6" s="3" t="inlineStr">
        <is>
          <t>ADM-KPI-005</t>
        </is>
      </c>
      <c r="B6" s="3" t="inlineStr">
        <is>
          <t>KPI rises after a manual grant</t>
        </is>
      </c>
      <c r="C6" s="3" t="inlineStr">
        <is>
          <t>A1; note the value</t>
        </is>
      </c>
      <c r="D6" s="3" t="inlineStr">
        <is>
          <t>1. Grant U1 the fixture course</t>
        </is>
      </c>
      <c r="E6" s="3" t="inlineStr">
        <is>
          <t>Enrollments +1 immediately and after a reload</t>
        </is>
      </c>
      <c r="F6" s="3" t="inlineStr">
        <is>
          <t>P0</t>
        </is>
      </c>
      <c r="G6" s="3" t="n"/>
      <c r="H6" s="3" t="inlineStr">
        <is>
          <t>AD-29</t>
        </is>
      </c>
      <c r="I6" s="3" t="inlineStr">
        <is>
          <t>No</t>
        </is>
      </c>
    </row>
    <row r="7">
      <c r="A7" s="3" t="inlineStr">
        <is>
          <t>ADM-KPI-006</t>
        </is>
      </c>
      <c r="B7" s="3" t="inlineStr">
        <is>
          <t>Coupons Used unchanged after a manual grant</t>
        </is>
      </c>
      <c r="C7" s="3" t="inlineStr">
        <is>
          <t>KPI-005</t>
        </is>
      </c>
      <c r="D7" s="3" t="inlineStr">
        <is>
          <t>1. Compare</t>
        </is>
      </c>
      <c r="E7" s="3" t="inlineStr">
        <is>
          <t>Unchanged (manual grants have no coupon)</t>
        </is>
      </c>
      <c r="F7" s="3" t="inlineStr">
        <is>
          <t>P1</t>
        </is>
      </c>
      <c r="G7" s="3" t="n"/>
      <c r="H7" s="3" t="inlineStr">
        <is>
          <t>AD-29</t>
        </is>
      </c>
      <c r="I7" s="3" t="inlineStr">
        <is>
          <t>No</t>
        </is>
      </c>
    </row>
    <row r="8">
      <c r="A8" s="3" t="inlineStr">
        <is>
          <t>ADM-KPI-007</t>
        </is>
      </c>
      <c r="B8" s="3" t="inlineStr">
        <is>
          <t>KPI after a failed grant</t>
        </is>
      </c>
      <c r="C8" s="3" t="inlineStr">
        <is>
          <t>A1; note the value</t>
        </is>
      </c>
      <c r="D8" s="3" t="inlineStr">
        <is>
          <t>1. Submit an unknown Clerk id</t>
        </is>
      </c>
      <c r="E8" s="3" t="inlineStr">
        <is>
          <t>Enrollments unchanged</t>
        </is>
      </c>
      <c r="F8" s="3" t="inlineStr">
        <is>
          <t>P1</t>
        </is>
      </c>
      <c r="G8" s="3" t="n"/>
      <c r="H8" s="3" t="inlineStr">
        <is>
          <t>AD-26</t>
        </is>
      </c>
      <c r="I8" s="3" t="inlineStr">
        <is>
          <t>No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ADM-TBL-001</t>
        </is>
      </c>
      <c r="B2" s="3" t="inlineStr">
        <is>
          <t>Five tabs switch the table</t>
        </is>
      </c>
      <c r="C2" s="3" t="inlineStr">
        <is>
          <t>A1</t>
        </is>
      </c>
      <c r="D2" s="3" t="inlineStr">
        <is>
          <t>1. Click each tab in turn</t>
        </is>
      </c>
      <c r="E2" s="3" t="inlineStr">
        <is>
          <t>Each tab shows its own headers; the others disappear</t>
        </is>
      </c>
      <c r="F2" s="3" t="inlineStr">
        <is>
          <t>P0</t>
        </is>
      </c>
      <c r="G2" s="3" t="n"/>
      <c r="H2" s="3" t="inlineStr">
        <is>
          <t>AD-09</t>
        </is>
      </c>
      <c r="I2" s="3" t="inlineStr">
        <is>
          <t>No</t>
        </is>
      </c>
    </row>
    <row r="3">
      <c r="A3" s="3" t="inlineStr">
        <is>
          <t>ADM-TBL-002</t>
        </is>
      </c>
      <c r="B3" s="3" t="inlineStr">
        <is>
          <t>Directory columns</t>
        </is>
      </c>
      <c r="C3" s="3" t="inlineStr">
        <is>
          <t>A1 on Directory</t>
        </is>
      </c>
      <c r="D3" s="3" t="inlineStr">
        <is>
          <t>1. Read the headers</t>
        </is>
      </c>
      <c r="E3" s="3" t="inlineStr">
        <is>
          <t>User, Clerk ID, Joined Date, Status</t>
        </is>
      </c>
      <c r="F3" s="3" t="inlineStr">
        <is>
          <t>P1</t>
        </is>
      </c>
      <c r="G3" s="3" t="n"/>
      <c r="H3" s="3" t="inlineStr">
        <is>
          <t>AD-10</t>
        </is>
      </c>
      <c r="I3" s="3" t="inlineStr">
        <is>
          <t>No</t>
        </is>
      </c>
    </row>
    <row r="4">
      <c r="A4" s="3" t="inlineStr">
        <is>
          <t>ADM-TBL-003</t>
        </is>
      </c>
      <c r="B4" s="3" t="inlineStr">
        <is>
          <t>Directory rows</t>
        </is>
      </c>
      <c r="C4" s="3" t="inlineStr">
        <is>
          <t>A1</t>
        </is>
      </c>
      <c r="D4" s="3" t="inlineStr">
        <is>
          <t>1. Search for U1's email in the list</t>
        </is>
      </c>
      <c r="E4" s="3" t="inlineStr">
        <is>
          <t>Row with name, email, Clerk id, joined date</t>
        </is>
      </c>
      <c r="F4" s="3" t="inlineStr">
        <is>
          <t>P0</t>
        </is>
      </c>
      <c r="G4" s="3" t="n"/>
      <c r="H4" s="3" t="inlineStr">
        <is>
          <t>AD-10</t>
        </is>
      </c>
      <c r="I4" s="3" t="inlineStr">
        <is>
          <t>No</t>
        </is>
      </c>
    </row>
    <row r="5">
      <c r="A5" s="3" t="inlineStr">
        <is>
          <t>ADM-TBL-004</t>
        </is>
      </c>
      <c r="B5" s="3" t="inlineStr">
        <is>
          <t>Initial shown without an avatar</t>
        </is>
      </c>
      <c r="C5" s="3" t="inlineStr">
        <is>
          <t>User without an image</t>
        </is>
      </c>
      <c r="D5" s="3" t="inlineStr">
        <is>
          <t>1. Look at the row</t>
        </is>
      </c>
      <c r="E5" s="3" t="inlineStr">
        <is>
          <t>First letter of the name in a circle</t>
        </is>
      </c>
      <c r="F5" s="3" t="inlineStr">
        <is>
          <t>P2</t>
        </is>
      </c>
      <c r="G5" s="3" t="n"/>
      <c r="H5" s="3" t="inlineStr">
        <is>
          <t>AD-11</t>
        </is>
      </c>
      <c r="I5" s="3" t="inlineStr">
        <is>
          <t>No</t>
        </is>
      </c>
    </row>
    <row r="6">
      <c r="A6" s="3" t="inlineStr">
        <is>
          <t>ADM-TBL-005</t>
        </is>
      </c>
      <c r="B6" s="3" t="inlineStr">
        <is>
          <t>Enrollments columns</t>
        </is>
      </c>
      <c r="C6" s="3" t="inlineStr">
        <is>
          <t>A1 on Enrollments</t>
        </is>
      </c>
      <c r="D6" s="3" t="inlineStr">
        <is>
          <t>1. Read the headers</t>
        </is>
      </c>
      <c r="E6" s="3" t="inlineStr">
        <is>
          <t>Student Identity, Course, Coupon, Date Enrolled</t>
        </is>
      </c>
      <c r="F6" s="3" t="inlineStr">
        <is>
          <t>P1</t>
        </is>
      </c>
      <c r="G6" s="3" t="n"/>
      <c r="H6" s="3" t="inlineStr">
        <is>
          <t>AD-12</t>
        </is>
      </c>
      <c r="I6" s="3" t="inlineStr">
        <is>
          <t>No</t>
        </is>
      </c>
    </row>
    <row r="7">
      <c r="A7" s="3" t="inlineStr">
        <is>
          <t>ADM-TBL-006</t>
        </is>
      </c>
      <c r="B7" s="3" t="inlineStr">
        <is>
          <t>Seeded personas appear with their courses</t>
        </is>
      </c>
      <c r="C7" s="3" t="inlineStr">
        <is>
          <t>Seed state applied</t>
        </is>
      </c>
      <c r="D7" s="3" t="inlineStr">
        <is>
          <t>1. Read the rows</t>
        </is>
      </c>
      <c r="E7" s="3" t="inlineStr">
        <is>
          <t>S2 with Course A, S1 with Course B; U1 absent</t>
        </is>
      </c>
      <c r="F7" s="3" t="inlineStr">
        <is>
          <t>P0</t>
        </is>
      </c>
      <c r="G7" s="3" t="n"/>
      <c r="H7" s="3" t="inlineStr">
        <is>
          <t>AD-12</t>
        </is>
      </c>
      <c r="I7" s="3" t="inlineStr">
        <is>
          <t>No</t>
        </is>
      </c>
    </row>
    <row r="8">
      <c r="A8" s="3" t="inlineStr">
        <is>
          <t>ADM-TBL-007</t>
        </is>
      </c>
      <c r="B8" s="3" t="inlineStr">
        <is>
          <t>Newest enrollment first</t>
        </is>
      </c>
      <c r="C8" s="3" t="inlineStr">
        <is>
          <t>Two enrollments with different dates</t>
        </is>
      </c>
      <c r="D8" s="3" t="inlineStr">
        <is>
          <t>1. Read the order</t>
        </is>
      </c>
      <c r="E8" s="3" t="inlineStr">
        <is>
          <t>Descending by date</t>
        </is>
      </c>
      <c r="F8" s="3" t="inlineStr">
        <is>
          <t>P1</t>
        </is>
      </c>
      <c r="G8" s="3" t="n"/>
      <c r="H8" s="3" t="inlineStr">
        <is>
          <t>AD-13</t>
        </is>
      </c>
      <c r="I8" s="3" t="inlineStr">
        <is>
          <t>No</t>
        </is>
      </c>
    </row>
    <row r="9">
      <c r="A9" s="3" t="inlineStr">
        <is>
          <t>ADM-TBL-008</t>
        </is>
      </c>
      <c r="B9" s="3" t="inlineStr">
        <is>
          <t>Coupon column</t>
        </is>
      </c>
      <c r="C9" s="3" t="inlineStr">
        <is>
          <t>An enrollment made with QA100 and one without</t>
        </is>
      </c>
      <c r="D9" s="3" t="inlineStr">
        <is>
          <t>1. Read the column</t>
        </is>
      </c>
      <c r="E9" s="3" t="inlineStr">
        <is>
          <t>'QA100' on the first, none/empty on the other</t>
        </is>
      </c>
      <c r="F9" s="3" t="inlineStr">
        <is>
          <t>P1</t>
        </is>
      </c>
      <c r="G9" s="3" t="n"/>
      <c r="H9" s="3" t="inlineStr">
        <is>
          <t>AD-14</t>
        </is>
      </c>
      <c r="I9" s="3" t="inlineStr">
        <is>
          <t>No</t>
        </is>
      </c>
    </row>
    <row r="10">
      <c r="A10" s="3" t="inlineStr">
        <is>
          <t>ADM-TBL-009</t>
        </is>
      </c>
      <c r="B10" s="3" t="inlineStr">
        <is>
          <t>Name and email come from the CRM</t>
        </is>
      </c>
      <c r="C10" s="3" t="inlineStr">
        <is>
          <t>A1</t>
        </is>
      </c>
      <c r="D10" s="3" t="inlineStr">
        <is>
          <t>1. Read a row</t>
        </is>
      </c>
      <c r="E10" s="3" t="inlineStr">
        <is>
          <t>CRM name and email shown</t>
        </is>
      </c>
      <c r="F10" s="3" t="inlineStr">
        <is>
          <t>P1</t>
        </is>
      </c>
      <c r="G10" s="3" t="n"/>
      <c r="H10" s="3" t="inlineStr">
        <is>
          <t>AD-15</t>
        </is>
      </c>
      <c r="I10" s="3" t="inlineStr">
        <is>
          <t>No</t>
        </is>
      </c>
    </row>
    <row r="11">
      <c r="A11" s="3" t="inlineStr">
        <is>
          <t>ADM-TBL-010</t>
        </is>
      </c>
      <c r="B11" s="3" t="inlineStr">
        <is>
          <t>Fallback when a user is not in the CRM</t>
        </is>
      </c>
      <c r="C11" s="3" t="inlineStr">
        <is>
          <t>Enrollment for a deleted Clerk user</t>
        </is>
      </c>
      <c r="D11" s="3" t="inlineStr">
        <is>
          <t>1. Read the row</t>
        </is>
      </c>
      <c r="E11" s="3" t="inlineStr">
        <is>
          <t>Stored name/email or the user id; row not blank</t>
        </is>
      </c>
      <c r="F11" s="3" t="inlineStr">
        <is>
          <t>P2</t>
        </is>
      </c>
      <c r="G11" s="3" t="n"/>
      <c r="H11" s="3" t="inlineStr">
        <is>
          <t>AD-15</t>
        </is>
      </c>
      <c r="I11" s="3" t="inlineStr">
        <is>
          <t>No</t>
        </is>
      </c>
    </row>
    <row r="12">
      <c r="A12" s="3" t="inlineStr">
        <is>
          <t>ADM-TBL-011</t>
        </is>
      </c>
      <c r="B12" s="3" t="inlineStr">
        <is>
          <t>Empty enrollments table</t>
        </is>
      </c>
      <c r="C12" s="3" t="inlineStr">
        <is>
          <t>Enrollments request returns []</t>
        </is>
      </c>
      <c r="D12" s="3" t="inlineStr">
        <is>
          <t>1. Open the tab</t>
        </is>
      </c>
      <c r="E12" s="3" t="inlineStr">
        <is>
          <t>'No enrollments found.'</t>
        </is>
      </c>
      <c r="F12" s="3" t="inlineStr">
        <is>
          <t>P1</t>
        </is>
      </c>
      <c r="G12" s="3" t="n"/>
      <c r="H12" s="3" t="inlineStr">
        <is>
          <t>AD-22</t>
        </is>
      </c>
      <c r="I12" s="3" t="inlineStr">
        <is>
          <t>No</t>
        </is>
      </c>
    </row>
    <row r="13">
      <c r="F13" s="4" t="inlineStr">
        <is>
          <t>Coverage</t>
        </is>
      </c>
      <c r="G13" s="6">
        <f>IF(COUNTA(A2:A12)=0,0,(COUNTIF(G2:G12,"Passed")+COUNTIF(G2:G12,"Failed")+COUNTIF(G2:G12,"NA"))/COUNTA(A2:A12))</f>
        <v/>
      </c>
    </row>
  </sheetData>
  <conditionalFormatting sqref="G2:G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2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ADM-PRG-001</t>
        </is>
      </c>
      <c r="B2" s="3" t="inlineStr">
        <is>
          <t>Progress columns</t>
        </is>
      </c>
      <c r="C2" s="3" t="inlineStr">
        <is>
          <t>A1 on Progress</t>
        </is>
      </c>
      <c r="D2" s="3" t="inlineStr">
        <is>
          <t>1. Read the headers</t>
        </is>
      </c>
      <c r="E2" s="3" t="inlineStr">
        <is>
          <t>Student Identity, Course, Videos, Assignments, Completion</t>
        </is>
      </c>
      <c r="F2" s="3" t="inlineStr">
        <is>
          <t>P1</t>
        </is>
      </c>
      <c r="G2" s="3" t="n"/>
      <c r="H2" s="3" t="inlineStr">
        <is>
          <t>AD-16</t>
        </is>
      </c>
      <c r="I2" s="3" t="inlineStr">
        <is>
          <t>No</t>
        </is>
      </c>
    </row>
    <row r="3">
      <c r="A3" s="3" t="inlineStr">
        <is>
          <t>ADM-PRG-002</t>
        </is>
      </c>
      <c r="B3" s="3" t="inlineStr">
        <is>
          <t>Counts match the progress rows</t>
        </is>
      </c>
      <c r="C3" s="3" t="inlineStr">
        <is>
          <t>S2 with known progress rows</t>
        </is>
      </c>
      <c r="D3" s="3" t="inlineStr">
        <is>
          <t>1. Compare with video_progress and assignment_progress</t>
        </is>
      </c>
      <c r="E3" s="3" t="inlineStr">
        <is>
          <t>Videos and assignments counts equal; completion consistent</t>
        </is>
      </c>
      <c r="F3" s="3" t="inlineStr">
        <is>
          <t>P0</t>
        </is>
      </c>
      <c r="G3" s="3" t="n"/>
      <c r="H3" s="3" t="inlineStr">
        <is>
          <t>AD-16</t>
        </is>
      </c>
      <c r="I3" s="3" t="inlineStr">
        <is>
          <t>No</t>
        </is>
      </c>
    </row>
    <row r="4">
      <c r="A4" s="3" t="inlineStr">
        <is>
          <t>ADM-PRG-003</t>
        </is>
      </c>
      <c r="B4" s="3" t="inlineStr">
        <is>
          <t>Learner with no progress</t>
        </is>
      </c>
      <c r="C4" s="3" t="inlineStr">
        <is>
          <t>S1 with no progress rows</t>
        </is>
      </c>
      <c r="D4" s="3" t="inlineStr">
        <is>
          <t>1. Read the row</t>
        </is>
      </c>
      <c r="E4" s="3" t="inlineStr">
        <is>
          <t>0 videos, 0 assignments, 0% (no crash)</t>
        </is>
      </c>
      <c r="F4" s="3" t="inlineStr">
        <is>
          <t>P1</t>
        </is>
      </c>
      <c r="G4" s="3" t="n"/>
      <c r="H4" s="3" t="inlineStr">
        <is>
          <t>AD-16</t>
        </is>
      </c>
      <c r="I4" s="3" t="inlineStr">
        <is>
          <t>No</t>
        </is>
      </c>
    </row>
    <row r="5">
      <c r="A5" s="3" t="inlineStr">
        <is>
          <t>ADM-ASG-001</t>
        </is>
      </c>
      <c r="B5" s="3" t="inlineStr">
        <is>
          <t>Assignments columns</t>
        </is>
      </c>
      <c r="C5" s="3" t="inlineStr">
        <is>
          <t>A1 on Assignments</t>
        </is>
      </c>
      <c r="D5" s="3" t="inlineStr">
        <is>
          <t>1. Read the headers</t>
        </is>
      </c>
      <c r="E5" s="3" t="inlineStr">
        <is>
          <t>Student Identity, Assignment Task, Date Submitted, Action</t>
        </is>
      </c>
      <c r="F5" s="3" t="inlineStr">
        <is>
          <t>P1</t>
        </is>
      </c>
      <c r="G5" s="3" t="n"/>
      <c r="H5" s="3" t="inlineStr">
        <is>
          <t>AD-17</t>
        </is>
      </c>
      <c r="I5" s="3" t="inlineStr">
        <is>
          <t>No</t>
        </is>
      </c>
    </row>
    <row r="6">
      <c r="A6" s="3" t="inlineStr">
        <is>
          <t>ADM-ASG-002</t>
        </is>
      </c>
      <c r="B6" s="3" t="inlineStr">
        <is>
          <t>Submission row</t>
        </is>
      </c>
      <c r="C6" s="3" t="inlineStr">
        <is>
          <t>A submission exists</t>
        </is>
      </c>
      <c r="D6" s="3" t="inlineStr">
        <is>
          <t>1. Read the row</t>
        </is>
      </c>
      <c r="E6" s="3" t="inlineStr">
        <is>
          <t>Student, lesson title (not an id), date/time, View Code</t>
        </is>
      </c>
      <c r="F6" s="3" t="inlineStr">
        <is>
          <t>P0</t>
        </is>
      </c>
      <c r="G6" s="3" t="n"/>
      <c r="H6" s="3" t="inlineStr">
        <is>
          <t>AD-17</t>
        </is>
      </c>
      <c r="I6" s="3" t="inlineStr">
        <is>
          <t>No</t>
        </is>
      </c>
    </row>
    <row r="7">
      <c r="A7" s="3" t="inlineStr">
        <is>
          <t>ADM-ASG-003</t>
        </is>
      </c>
      <c r="B7" s="3" t="inlineStr">
        <is>
          <t>Newest submission first</t>
        </is>
      </c>
      <c r="C7" s="3" t="inlineStr">
        <is>
          <t>Two submissions</t>
        </is>
      </c>
      <c r="D7" s="3" t="inlineStr">
        <is>
          <t>1. Read the order</t>
        </is>
      </c>
      <c r="E7" s="3" t="inlineStr">
        <is>
          <t>Descending</t>
        </is>
      </c>
      <c r="F7" s="3" t="inlineStr">
        <is>
          <t>P2</t>
        </is>
      </c>
      <c r="G7" s="3" t="n"/>
      <c r="H7" s="3" t="inlineStr">
        <is>
          <t>AD-17</t>
        </is>
      </c>
      <c r="I7" s="3" t="inlineStr">
        <is>
          <t>No</t>
        </is>
      </c>
    </row>
    <row r="8">
      <c r="A8" s="3" t="inlineStr">
        <is>
          <t>ADM-ASG-004</t>
        </is>
      </c>
      <c r="B8" s="3" t="inlineStr">
        <is>
          <t>View Code opens the right code</t>
        </is>
      </c>
      <c r="C8" s="3" t="inlineStr">
        <is>
          <t>ASG-002</t>
        </is>
      </c>
      <c r="D8" s="3" t="inlineStr">
        <is>
          <t>1. Click View Code</t>
        </is>
      </c>
      <c r="E8" s="3" t="inlineStr">
        <is>
          <t>'Code Review' modal with the student's name, the lesson title and that submission's code</t>
        </is>
      </c>
      <c r="F8" s="3" t="inlineStr">
        <is>
          <t>P0</t>
        </is>
      </c>
      <c r="G8" s="3" t="n"/>
      <c r="H8" s="3" t="inlineStr">
        <is>
          <t>AD-18</t>
        </is>
      </c>
      <c r="I8" s="3" t="inlineStr">
        <is>
          <t>No</t>
        </is>
      </c>
    </row>
    <row r="9">
      <c r="A9" s="3" t="inlineStr">
        <is>
          <t>ADM-ASG-005</t>
        </is>
      </c>
      <c r="B9" s="3" t="inlineStr">
        <is>
          <t>Code is read-only</t>
        </is>
      </c>
      <c r="C9" s="3" t="inlineStr">
        <is>
          <t>ASG-004</t>
        </is>
      </c>
      <c r="D9" s="3" t="inlineStr">
        <is>
          <t>1. Try to type in the editor</t>
        </is>
      </c>
      <c r="E9" s="3" t="inlineStr">
        <is>
          <t>Text cannot be changed</t>
        </is>
      </c>
      <c r="F9" s="3" t="inlineStr">
        <is>
          <t>P1</t>
        </is>
      </c>
      <c r="G9" s="3" t="n"/>
      <c r="H9" s="3" t="inlineStr">
        <is>
          <t>AD-19</t>
        </is>
      </c>
      <c r="I9" s="3" t="inlineStr">
        <is>
          <t>No</t>
        </is>
      </c>
    </row>
    <row r="10">
      <c r="A10" s="3" t="inlineStr">
        <is>
          <t>ADM-ASG-006</t>
        </is>
      </c>
      <c r="B10" s="3" t="inlineStr">
        <is>
          <t>Close the modal</t>
        </is>
      </c>
      <c r="C10" s="3" t="inlineStr">
        <is>
          <t>ASG-004</t>
        </is>
      </c>
      <c r="D10" s="3" t="inlineStr">
        <is>
          <t>1. Click the X</t>
        </is>
      </c>
      <c r="E10" s="3" t="inlineStr">
        <is>
          <t>Modal closes; table unchanged</t>
        </is>
      </c>
      <c r="F10" s="3" t="inlineStr">
        <is>
          <t>P1</t>
        </is>
      </c>
      <c r="G10" s="3" t="n"/>
      <c r="H10" s="3" t="inlineStr">
        <is>
          <t>AD-19</t>
        </is>
      </c>
      <c r="I10" s="3" t="inlineStr">
        <is>
          <t>No</t>
        </is>
      </c>
    </row>
    <row r="11">
      <c r="A11" s="3" t="inlineStr">
        <is>
          <t>ADM-ASG-007</t>
        </is>
      </c>
      <c r="B11" s="3" t="inlineStr">
        <is>
          <t>Empty code</t>
        </is>
      </c>
      <c r="C11" s="3" t="inlineStr">
        <is>
          <t>Submission with empty code</t>
        </is>
      </c>
      <c r="D11" s="3" t="inlineStr">
        <is>
          <t>1. Click View Code</t>
        </is>
      </c>
      <c r="E11" s="3" t="inlineStr">
        <is>
          <t>'# No code provided.'</t>
        </is>
      </c>
      <c r="F11" s="3" t="inlineStr">
        <is>
          <t>P2</t>
        </is>
      </c>
      <c r="G11" s="3" t="n"/>
      <c r="H11" s="3" t="inlineStr">
        <is>
          <t>AD-20</t>
        </is>
      </c>
      <c r="I11" s="3" t="inlineStr">
        <is>
          <t>No</t>
        </is>
      </c>
    </row>
    <row r="12">
      <c r="A12" s="3" t="inlineStr">
        <is>
          <t>ADM-ASG-008</t>
        </is>
      </c>
      <c r="B12" s="3" t="inlineStr">
        <is>
          <t>No submissions</t>
        </is>
      </c>
      <c r="C12" s="3" t="inlineStr">
        <is>
          <t>assignment_progress returns []</t>
        </is>
      </c>
      <c r="D12" s="3" t="inlineStr">
        <is>
          <t>1. Open the tab</t>
        </is>
      </c>
      <c r="E12" s="3" t="inlineStr">
        <is>
          <t>'No assignments submitted yet.'</t>
        </is>
      </c>
      <c r="F12" s="3" t="inlineStr">
        <is>
          <t>P1</t>
        </is>
      </c>
      <c r="G12" s="3" t="n"/>
      <c r="H12" s="3" t="inlineStr">
        <is>
          <t>AD-22</t>
        </is>
      </c>
      <c r="I12" s="3" t="inlineStr">
        <is>
          <t>No</t>
        </is>
      </c>
    </row>
    <row r="13">
      <c r="A13" s="3" t="inlineStr">
        <is>
          <t>ADM-ENG-001</t>
        </is>
      </c>
      <c r="B13" s="3" t="inlineStr">
        <is>
          <t>Engagement columns</t>
        </is>
      </c>
      <c r="C13" s="3" t="inlineStr">
        <is>
          <t>A1 on Engagement</t>
        </is>
      </c>
      <c r="D13" s="3" t="inlineStr">
        <is>
          <t>1. Read the headers</t>
        </is>
      </c>
      <c r="E13" s="3" t="inlineStr">
        <is>
          <t>Student Identity, Total Time Spent, Current Streak, Last Login</t>
        </is>
      </c>
      <c r="F13" s="3" t="inlineStr">
        <is>
          <t>P1</t>
        </is>
      </c>
      <c r="G13" s="3" t="n"/>
      <c r="H13" s="3" t="inlineStr">
        <is>
          <t>AD-21</t>
        </is>
      </c>
      <c r="I13" s="3" t="inlineStr">
        <is>
          <t>No</t>
        </is>
      </c>
    </row>
    <row r="14">
      <c r="A14" s="3" t="inlineStr">
        <is>
          <t>ADM-ENG-002</t>
        </is>
      </c>
      <c r="B14" s="3" t="inlineStr">
        <is>
          <t>Ordered by time spent</t>
        </is>
      </c>
      <c r="C14" s="3" t="inlineStr">
        <is>
          <t>Two stats rows</t>
        </is>
      </c>
      <c r="D14" s="3" t="inlineStr">
        <is>
          <t>1. Read the order</t>
        </is>
      </c>
      <c r="E14" s="3" t="inlineStr">
        <is>
          <t>Largest total time first; time formatted (h/m)</t>
        </is>
      </c>
      <c r="F14" s="3" t="inlineStr">
        <is>
          <t>P1</t>
        </is>
      </c>
      <c r="G14" s="3" t="n"/>
      <c r="H14" s="3" t="inlineStr">
        <is>
          <t>AD-21</t>
        </is>
      </c>
      <c r="I14" s="3" t="inlineStr">
        <is>
          <t>No</t>
        </is>
      </c>
    </row>
    <row r="15">
      <c r="A15" s="3" t="inlineStr">
        <is>
          <t>ADM-ENG-003</t>
        </is>
      </c>
      <c r="B15" s="3" t="inlineStr">
        <is>
          <t>Streak value</t>
        </is>
      </c>
      <c r="C15" s="3" t="inlineStr">
        <is>
          <t>Row with streak 4</t>
        </is>
      </c>
      <c r="D15" s="3" t="inlineStr">
        <is>
          <t>1. Read the row</t>
        </is>
      </c>
      <c r="E15" s="3" t="inlineStr">
        <is>
          <t>4 with the flame icon</t>
        </is>
      </c>
      <c r="F15" s="3" t="inlineStr">
        <is>
          <t>P2</t>
        </is>
      </c>
      <c r="G15" s="3" t="n"/>
      <c r="H15" s="3" t="inlineStr">
        <is>
          <t>AD-21</t>
        </is>
      </c>
      <c r="I15" s="3" t="inlineStr">
        <is>
          <t>No</t>
        </is>
      </c>
    </row>
    <row r="16">
      <c r="A16" s="3" t="inlineStr">
        <is>
          <t>ADM-ENG-004</t>
        </is>
      </c>
      <c r="B16" s="3" t="inlineStr">
        <is>
          <t>No engagement data</t>
        </is>
      </c>
      <c r="C16" s="3" t="inlineStr">
        <is>
          <t>user_stats returns []</t>
        </is>
      </c>
      <c r="D16" s="3" t="inlineStr">
        <is>
          <t>1. Open the tab</t>
        </is>
      </c>
      <c r="E16" s="3" t="inlineStr">
        <is>
          <t>'No engagement data found.'</t>
        </is>
      </c>
      <c r="F16" s="3" t="inlineStr">
        <is>
          <t>P1</t>
        </is>
      </c>
      <c r="G16" s="3" t="n"/>
      <c r="H16" s="3" t="inlineStr">
        <is>
          <t>AD-22</t>
        </is>
      </c>
      <c r="I16" s="3" t="inlineStr">
        <is>
          <t>No</t>
        </is>
      </c>
    </row>
    <row r="17">
      <c r="F17" s="4" t="inlineStr">
        <is>
          <t>Coverage</t>
        </is>
      </c>
      <c r="G17" s="6">
        <f>IF(COUNTA(A2:A16)=0,0,(COUNTIF(G2:G16,"Passed")+COUNTIF(G2:G16,"Failed")+COUNTIF(G2:G16,"NA"))/COUNTA(A2:A16))</f>
        <v/>
      </c>
    </row>
  </sheetData>
  <conditionalFormatting sqref="G2:G1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6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ADM-ENR-001</t>
        </is>
      </c>
      <c r="B2" s="3" t="inlineStr">
        <is>
          <t>Form is shown</t>
        </is>
      </c>
      <c r="C2" s="3" t="inlineStr">
        <is>
          <t>A1</t>
        </is>
      </c>
      <c r="D2" s="3" t="inlineStr">
        <is>
          <t>1. Scroll to 'Manual Enrollment / Backdoor'</t>
        </is>
      </c>
      <c r="E2" s="3" t="inlineStr">
        <is>
          <t>Clerk User ID input (placeholder user_2aBcD...), Course select, Grant Access button</t>
        </is>
      </c>
      <c r="F2" s="3" t="inlineStr">
        <is>
          <t>P1</t>
        </is>
      </c>
      <c r="G2" s="3" t="n"/>
      <c r="H2" s="3" t="inlineStr">
        <is>
          <t>AD-23</t>
        </is>
      </c>
      <c r="I2" s="3" t="inlineStr">
        <is>
          <t>No</t>
        </is>
      </c>
    </row>
    <row r="3">
      <c r="A3" s="3" t="inlineStr">
        <is>
          <t>ADM-ENR-002</t>
        </is>
      </c>
      <c r="B3" s="3" t="inlineStr">
        <is>
          <t>Course list equals the catalog</t>
        </is>
      </c>
      <c r="C3" s="3" t="inlineStr">
        <is>
          <t>A1</t>
        </is>
      </c>
      <c r="D3" s="3" t="inlineStr">
        <is>
          <t>1. Open the Course select</t>
        </is>
      </c>
      <c r="E3" s="3" t="inlineStr">
        <is>
          <t>All catalog courses (including closed ones and the fixture when enabled)</t>
        </is>
      </c>
      <c r="F3" s="3" t="inlineStr">
        <is>
          <t>P1</t>
        </is>
      </c>
      <c r="G3" s="3" t="n"/>
      <c r="H3" s="3" t="inlineStr">
        <is>
          <t>AD-25</t>
        </is>
      </c>
      <c r="I3" s="3" t="inlineStr">
        <is>
          <t>No</t>
        </is>
      </c>
    </row>
    <row r="4">
      <c r="A4" s="3" t="inlineStr">
        <is>
          <t>ADM-ENR-003</t>
        </is>
      </c>
      <c r="B4" s="3" t="inlineStr">
        <is>
          <t>Empty ID</t>
        </is>
      </c>
      <c r="C4" s="3" t="inlineStr">
        <is>
          <t>A1</t>
        </is>
      </c>
      <c r="D4" s="3" t="inlineStr">
        <is>
          <t>1. Click Grant Access with the ID empty</t>
        </is>
      </c>
      <c r="E4" s="3" t="inlineStr">
        <is>
          <t>'Please enter a valid Clerk User ID.' in red; no request</t>
        </is>
      </c>
      <c r="F4" s="3" t="inlineStr">
        <is>
          <t>P0</t>
        </is>
      </c>
      <c r="G4" s="3" t="n"/>
      <c r="H4" s="3" t="inlineStr">
        <is>
          <t>AD-23</t>
        </is>
      </c>
      <c r="I4" s="3" t="inlineStr">
        <is>
          <t>No</t>
        </is>
      </c>
    </row>
    <row r="5">
      <c r="A5" s="3" t="inlineStr">
        <is>
          <t>ADM-ENR-004</t>
        </is>
      </c>
      <c r="B5" s="3" t="inlineStr">
        <is>
          <t>Whitespace-only ID</t>
        </is>
      </c>
      <c r="C5" s="3" t="inlineStr">
        <is>
          <t>A1</t>
        </is>
      </c>
      <c r="D5" s="3" t="inlineStr">
        <is>
          <t>1. Type spaces 2. Grant Access</t>
        </is>
      </c>
      <c r="E5" s="3" t="inlineStr">
        <is>
          <t>Same message as ENR-003</t>
        </is>
      </c>
      <c r="F5" s="3" t="inlineStr">
        <is>
          <t>P1</t>
        </is>
      </c>
      <c r="G5" s="3" t="n"/>
      <c r="H5" s="3" t="inlineStr">
        <is>
          <t>AD-24</t>
        </is>
      </c>
      <c r="I5" s="3" t="inlineStr">
        <is>
          <t>No</t>
        </is>
      </c>
    </row>
    <row r="6">
      <c r="A6" s="3" t="inlineStr">
        <is>
          <t>ADM-ENR-005</t>
        </is>
      </c>
      <c r="B6" s="3" t="inlineStr">
        <is>
          <t>Unknown Clerk id</t>
        </is>
      </c>
      <c r="C6" s="3" t="inlineStr">
        <is>
          <t>A1; ID2</t>
        </is>
      </c>
      <c r="D6" s="3" t="inlineStr">
        <is>
          <t>1. Enter ID2 2. Grant Access</t>
        </is>
      </c>
      <c r="E6" s="3" t="inlineStr">
        <is>
          <t>'No Clerk user found with that ID.'; no row</t>
        </is>
      </c>
      <c r="F6" s="3" t="inlineStr">
        <is>
          <t>P0</t>
        </is>
      </c>
      <c r="G6" s="3" t="n"/>
      <c r="H6" s="3" t="inlineStr">
        <is>
          <t>AD-26</t>
        </is>
      </c>
      <c r="I6" s="3" t="inlineStr">
        <is>
          <t>No</t>
        </is>
      </c>
    </row>
    <row r="7">
      <c r="A7" s="3" t="inlineStr">
        <is>
          <t>ADM-ENR-006</t>
        </is>
      </c>
      <c r="B7" s="3" t="inlineStr">
        <is>
          <t>Unknown course (forced request)</t>
        </is>
      </c>
      <c r="C7" s="3" t="inlineStr">
        <is>
          <t>A1; request edited</t>
        </is>
      </c>
      <c r="D7" s="3" t="inlineStr">
        <is>
          <t>1. POST courseSlug 'nope'</t>
        </is>
      </c>
      <c r="E7" s="3" t="inlineStr">
        <is>
          <t>400 'Course not found.'; UI shows the message</t>
        </is>
      </c>
      <c r="F7" s="3" t="inlineStr">
        <is>
          <t>P1</t>
        </is>
      </c>
      <c r="G7" s="3" t="n"/>
      <c r="H7" s="3" t="inlineStr">
        <is>
          <t>AD-27</t>
        </is>
      </c>
      <c r="I7" s="3" t="inlineStr">
        <is>
          <t>No</t>
        </is>
      </c>
    </row>
    <row r="8">
      <c r="A8" s="3" t="inlineStr">
        <is>
          <t>ADM-ENR-007</t>
        </is>
      </c>
      <c r="B8" s="3" t="inlineStr">
        <is>
          <t>Valid grant</t>
        </is>
      </c>
      <c r="C8" s="3" t="inlineStr">
        <is>
          <t>A1; ID1 (U1 has no enrolments); fixture course</t>
        </is>
      </c>
      <c r="D8" s="3" t="inlineStr">
        <is>
          <t>1. Enter ID1 2. Choose the fixture 3. Grant Access</t>
        </is>
      </c>
      <c r="E8" s="3" t="inlineStr">
        <is>
          <t>Spinner, then green 'Access Granted Successfully!'; ID field cleared</t>
        </is>
      </c>
      <c r="F8" s="3" t="inlineStr">
        <is>
          <t>P0</t>
        </is>
      </c>
      <c r="G8" s="3" t="n"/>
      <c r="H8" s="3" t="inlineStr">
        <is>
          <t>AD-28</t>
        </is>
      </c>
      <c r="I8" s="3" t="inlineStr">
        <is>
          <t>No</t>
        </is>
      </c>
    </row>
    <row r="9">
      <c r="A9" s="3" t="inlineStr">
        <is>
          <t>ADM-ENR-008</t>
        </is>
      </c>
      <c r="B9" s="3" t="inlineStr">
        <is>
          <t>New row at the top of Enrollments</t>
        </is>
      </c>
      <c r="C9" s="3" t="inlineStr">
        <is>
          <t>ENR-007</t>
        </is>
      </c>
      <c r="D9" s="3" t="inlineStr">
        <is>
          <t>1. Open Enrollments</t>
        </is>
      </c>
      <c r="E9" s="3" t="inlineStr">
        <is>
          <t>U1 + fixture first, today's date, no coupon</t>
        </is>
      </c>
      <c r="F9" s="3" t="inlineStr">
        <is>
          <t>P0</t>
        </is>
      </c>
      <c r="G9" s="3" t="n"/>
      <c r="H9" s="3" t="inlineStr">
        <is>
          <t>AD-28</t>
        </is>
      </c>
      <c r="I9" s="3" t="inlineStr">
        <is>
          <t>No</t>
        </is>
      </c>
    </row>
    <row r="10">
      <c r="A10" s="3" t="inlineStr">
        <is>
          <t>ADM-ENR-009</t>
        </is>
      </c>
      <c r="B10" s="3" t="inlineStr">
        <is>
          <t>Database row exists</t>
        </is>
      </c>
      <c r="C10" s="3" t="inlineStr">
        <is>
          <t>ENR-007</t>
        </is>
      </c>
      <c r="D10" s="3" t="inlineStr">
        <is>
          <t>1. Read user_enrollments for U1</t>
        </is>
      </c>
      <c r="E10" s="3" t="inlineStr">
        <is>
          <t>One row for the fixture course</t>
        </is>
      </c>
      <c r="F10" s="3" t="inlineStr">
        <is>
          <t>P0</t>
        </is>
      </c>
      <c r="G10" s="3" t="n"/>
      <c r="H10" s="3" t="inlineStr">
        <is>
          <t>AD-28</t>
        </is>
      </c>
      <c r="I10" s="3" t="inlineStr">
        <is>
          <t>No</t>
        </is>
      </c>
    </row>
    <row r="11">
      <c r="A11" s="3" t="inlineStr">
        <is>
          <t>ADM-ENR-010</t>
        </is>
      </c>
      <c r="B11" s="3" t="inlineStr">
        <is>
          <t>Learner sees the course</t>
        </is>
      </c>
      <c r="C11" s="3" t="inlineStr">
        <is>
          <t>ENR-007</t>
        </is>
      </c>
      <c r="D11" s="3" t="inlineStr">
        <is>
          <t>1. Sign in as U1 2. Open /learning</t>
        </is>
      </c>
      <c r="E11" s="3" t="inlineStr">
        <is>
          <t>Course card is listed</t>
        </is>
      </c>
      <c r="F11" s="3" t="inlineStr">
        <is>
          <t>P0</t>
        </is>
      </c>
      <c r="G11" s="3" t="n"/>
      <c r="H11" s="3" t="inlineStr">
        <is>
          <t>AD-30</t>
        </is>
      </c>
      <c r="I11" s="3" t="inlineStr">
        <is>
          <t>(see PRD 06 CHG-004)</t>
        </is>
      </c>
    </row>
    <row r="12">
      <c r="A12" s="3" t="inlineStr">
        <is>
          <t>ADM-ENR-011</t>
        </is>
      </c>
      <c r="B12" s="3" t="inlineStr">
        <is>
          <t>Learner can open the lobby and the course</t>
        </is>
      </c>
      <c r="C12" s="3" t="inlineStr">
        <is>
          <t>ENR-007</t>
        </is>
      </c>
      <c r="D12" s="3" t="inlineStr">
        <is>
          <t>1. As U1 open /live/qa-checkout-sandbox and /learning/qa-checkout-sandbox</t>
        </is>
      </c>
      <c r="E12" s="3" t="inlineStr">
        <is>
          <t>Both open</t>
        </is>
      </c>
      <c r="F12" s="3" t="inlineStr">
        <is>
          <t>P1</t>
        </is>
      </c>
      <c r="G12" s="3" t="n"/>
      <c r="H12" s="3" t="inlineStr">
        <is>
          <t>AD-44</t>
        </is>
      </c>
      <c r="I12" s="3" t="inlineStr">
        <is>
          <t>No</t>
        </is>
      </c>
    </row>
    <row r="13">
      <c r="A13" s="3" t="inlineStr">
        <is>
          <t>ADM-ENR-012</t>
        </is>
      </c>
      <c r="B13" s="3" t="inlineStr">
        <is>
          <t>Second grant for the same student</t>
        </is>
      </c>
      <c r="C13" s="3" t="inlineStr">
        <is>
          <t>ENR-007</t>
        </is>
      </c>
      <c r="D13" s="3" t="inlineStr">
        <is>
          <t>1. Grant the same course again</t>
        </is>
      </c>
      <c r="E13" s="3" t="inlineStr">
        <is>
          <t>'Student is already enrolled!' in red; no second row</t>
        </is>
      </c>
      <c r="F13" s="3" t="inlineStr">
        <is>
          <t>P0</t>
        </is>
      </c>
      <c r="G13" s="3" t="n"/>
      <c r="H13" s="3" t="inlineStr">
        <is>
          <t>AD-31</t>
        </is>
      </c>
      <c r="I13" s="3" t="inlineStr">
        <is>
          <t>No</t>
        </is>
      </c>
    </row>
    <row r="14">
      <c r="A14" s="3" t="inlineStr">
        <is>
          <t>ADM-ENR-013</t>
        </is>
      </c>
      <c r="B14" s="3" t="inlineStr">
        <is>
          <t>Processing state</t>
        </is>
      </c>
      <c r="C14" s="3" t="inlineStr">
        <is>
          <t>A1; request slowed</t>
        </is>
      </c>
      <c r="D14" s="3" t="inlineStr">
        <is>
          <t>1. Grant Access</t>
        </is>
      </c>
      <c r="E14" s="3" t="inlineStr">
        <is>
          <t>Button shows a spinner and is disabled</t>
        </is>
      </c>
      <c r="F14" s="3" t="inlineStr">
        <is>
          <t>P1</t>
        </is>
      </c>
      <c r="G14" s="3" t="n"/>
      <c r="H14" s="3" t="inlineStr">
        <is>
          <t>AD-32</t>
        </is>
      </c>
      <c r="I14" s="3" t="inlineStr">
        <is>
          <t>No</t>
        </is>
      </c>
    </row>
    <row r="15">
      <c r="A15" s="3" t="inlineStr">
        <is>
          <t>ADM-ENR-014</t>
        </is>
      </c>
      <c r="B15" s="3" t="inlineStr">
        <is>
          <t>Server failure</t>
        </is>
      </c>
      <c r="C15" s="3" t="inlineStr">
        <is>
          <t>Request forced to 500</t>
        </is>
      </c>
      <c r="D15" s="3" t="inlineStr">
        <is>
          <t>1. Grant Access</t>
        </is>
      </c>
      <c r="E15" s="3" t="inlineStr">
        <is>
          <t>'Database Error.' in red; form still usable</t>
        </is>
      </c>
      <c r="F15" s="3" t="inlineStr">
        <is>
          <t>P1</t>
        </is>
      </c>
      <c r="G15" s="3" t="n"/>
      <c r="H15" s="3" t="inlineStr">
        <is>
          <t>AD-33</t>
        </is>
      </c>
      <c r="I15" s="3" t="inlineStr">
        <is>
          <t>No</t>
        </is>
      </c>
    </row>
    <row r="16">
      <c r="A16" s="3" t="inlineStr">
        <is>
          <t>ADM-ENR-015</t>
        </is>
      </c>
      <c r="B16" s="3" t="inlineStr">
        <is>
          <t>Double click on Grant Access</t>
        </is>
      </c>
      <c r="C16" s="3" t="inlineStr">
        <is>
          <t>A1</t>
        </is>
      </c>
      <c r="D16" s="3" t="inlineStr">
        <is>
          <t>1. Double-click</t>
        </is>
      </c>
      <c r="E16" s="3" t="inlineStr">
        <is>
          <t>One row</t>
        </is>
      </c>
      <c r="F16" s="3" t="inlineStr">
        <is>
          <t>P1</t>
        </is>
      </c>
      <c r="G16" s="3" t="n"/>
      <c r="H16" s="3" t="inlineStr">
        <is>
          <t>AD-31</t>
        </is>
      </c>
      <c r="I16" s="3" t="inlineStr">
        <is>
          <t>No</t>
        </is>
      </c>
    </row>
    <row r="17">
      <c r="A17" s="3" t="inlineStr">
        <is>
          <t>ADM-ENR-016</t>
        </is>
      </c>
      <c r="B17" s="3" t="inlineStr">
        <is>
          <t>Activity log entry</t>
        </is>
      </c>
      <c r="C17" s="3" t="inlineStr">
        <is>
          <t>ENR-007</t>
        </is>
      </c>
      <c r="D17" s="3" t="inlineStr">
        <is>
          <t>1. Read admin_activity_log</t>
        </is>
      </c>
      <c r="E17" s="3" t="inlineStr">
        <is>
          <t>'Backdoor access granted to qa-checkout-sandbox' for U1</t>
        </is>
      </c>
      <c r="F17" s="3" t="inlineStr">
        <is>
          <t>P1</t>
        </is>
      </c>
      <c r="G17" s="3" t="n"/>
      <c r="H17" s="3" t="inlineStr">
        <is>
          <t>AD-34</t>
        </is>
      </c>
      <c r="I17" s="3" t="inlineStr">
        <is>
          <t>No</t>
        </is>
      </c>
    </row>
    <row r="18">
      <c r="A18" s="3" t="inlineStr">
        <is>
          <t>ADM-ENR-017</t>
        </is>
      </c>
      <c r="B18" s="3" t="inlineStr">
        <is>
          <t>ID with spaces around it is trimmed</t>
        </is>
      </c>
      <c r="C18" s="3" t="inlineStr">
        <is>
          <t>A1</t>
        </is>
      </c>
      <c r="D18" s="3" t="inlineStr">
        <is>
          <t>1. Enter ' &lt;ID1&gt; ' 2. Grant Access</t>
        </is>
      </c>
      <c r="E18" s="3" t="inlineStr">
        <is>
          <t>Grant works (ID trimmed)</t>
        </is>
      </c>
      <c r="F18" s="3" t="inlineStr">
        <is>
          <t>P2</t>
        </is>
      </c>
      <c r="G18" s="3" t="n"/>
      <c r="H18" s="3" t="inlineStr">
        <is>
          <t>AD-28</t>
        </is>
      </c>
      <c r="I18" s="3" t="inlineStr">
        <is>
          <t>No</t>
        </is>
      </c>
    </row>
    <row r="19">
      <c r="A19" s="3" t="inlineStr">
        <is>
          <t>ADM-ENR-018</t>
        </is>
      </c>
      <c r="B19" s="3" t="inlineStr">
        <is>
          <t>Course dropdown remembers the last choice</t>
        </is>
      </c>
      <c r="C19" s="3" t="inlineStr">
        <is>
          <t>ENR-007</t>
        </is>
      </c>
      <c r="D19" s="3" t="inlineStr">
        <is>
          <t>1. Look at the select after success</t>
        </is>
      </c>
      <c r="E19" s="3" t="inlineStr">
        <is>
          <t>Selected course unchanged; only the ID is cleared</t>
        </is>
      </c>
      <c r="F19" s="3" t="inlineStr">
        <is>
          <t>P2</t>
        </is>
      </c>
      <c r="G19" s="3" t="n"/>
      <c r="H19" s="3" t="inlineStr">
        <is>
          <t>AD-28</t>
        </is>
      </c>
      <c r="I19" s="3" t="inlineStr">
        <is>
          <t>No</t>
        </is>
      </c>
    </row>
    <row r="20">
      <c r="A20" s="3" t="inlineStr">
        <is>
          <t>ADM-ENR-019</t>
        </is>
      </c>
      <c r="B20" s="3" t="inlineStr">
        <is>
          <t>Granting to the admin account</t>
        </is>
      </c>
      <c r="C20" s="3" t="inlineStr">
        <is>
          <t>A1; ID of the admin</t>
        </is>
      </c>
      <c r="D20" s="3" t="inlineStr">
        <is>
          <t>1. Grant any course</t>
        </is>
      </c>
      <c r="E20" s="3" t="inlineStr">
        <is>
          <t>Allowed (admin can be enrolled) or a clear message; no crash</t>
        </is>
      </c>
      <c r="F20" s="3" t="inlineStr">
        <is>
          <t>P2</t>
        </is>
      </c>
      <c r="G20" s="3" t="n"/>
      <c r="H20" s="3" t="inlineStr">
        <is>
          <t>AD-28</t>
        </is>
      </c>
      <c r="I20" s="3" t="inlineStr">
        <is>
          <t>No</t>
        </is>
      </c>
    </row>
    <row r="21">
      <c r="F21" s="4" t="inlineStr">
        <is>
          <t>Coverage</t>
        </is>
      </c>
      <c r="G21" s="6">
        <f>IF(COUNTA(A2:A20)=0,0,(COUNTIF(G2:G20,"Passed")+COUNTIF(G2:G20,"Failed")+COUNTIF(G2:G20,"NA"))/COUNTA(A2:A20))</f>
        <v/>
      </c>
    </row>
  </sheetData>
  <conditionalFormatting sqref="G2:G20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20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ADM-RSL-001</t>
        </is>
      </c>
      <c r="B2" s="3" t="inlineStr">
        <is>
          <t>Enrollments request fails</t>
        </is>
      </c>
      <c r="C2" s="3" t="inlineStr">
        <is>
          <t>user_enrollments forced to 500</t>
        </is>
      </c>
      <c r="D2" s="3" t="inlineStr">
        <is>
          <t>1. Open /admin</t>
        </is>
      </c>
      <c r="E2" s="3" t="inlineStr">
        <is>
          <t>Page opens; Enrollments tab empty; other tabs work</t>
        </is>
      </c>
      <c r="F2" s="3" t="inlineStr">
        <is>
          <t>P1</t>
        </is>
      </c>
      <c r="G2" s="3" t="n"/>
      <c r="H2" s="3" t="inlineStr">
        <is>
          <t>AD-38</t>
        </is>
      </c>
      <c r="I2" s="3" t="inlineStr">
        <is>
          <t>No</t>
        </is>
      </c>
    </row>
    <row r="3">
      <c r="A3" s="3" t="inlineStr">
        <is>
          <t>ADM-RSL-002</t>
        </is>
      </c>
      <c r="B3" s="3" t="inlineStr">
        <is>
          <t>CRM request fails</t>
        </is>
      </c>
      <c r="C3" s="3" t="inlineStr">
        <is>
          <t>/api/get-all-users forced to 500</t>
        </is>
      </c>
      <c r="D3" s="3" t="inlineStr">
        <is>
          <t>1. Open /admin</t>
        </is>
      </c>
      <c r="E3" s="3" t="inlineStr">
        <is>
          <t>Page opens; Directory empty; Total Leads 0; other tabs work</t>
        </is>
      </c>
      <c r="F3" s="3" t="inlineStr">
        <is>
          <t>P1</t>
        </is>
      </c>
      <c r="G3" s="3" t="n"/>
      <c r="H3" s="3" t="inlineStr">
        <is>
          <t>AD-39</t>
        </is>
      </c>
      <c r="I3" s="3" t="inlineStr">
        <is>
          <t>No</t>
        </is>
      </c>
    </row>
    <row r="4">
      <c r="A4" s="3" t="inlineStr">
        <is>
          <t>ADM-RSL-003</t>
        </is>
      </c>
      <c r="B4" s="3" t="inlineStr">
        <is>
          <t>Assignments request fails</t>
        </is>
      </c>
      <c r="C4" s="3" t="inlineStr">
        <is>
          <t>assignment_progress forced to 500</t>
        </is>
      </c>
      <c r="D4" s="3" t="inlineStr">
        <is>
          <t>1. Open the Assignments tab</t>
        </is>
      </c>
      <c r="E4" s="3" t="inlineStr">
        <is>
          <t>Empty state; no crash</t>
        </is>
      </c>
      <c r="F4" s="3" t="inlineStr">
        <is>
          <t>P1</t>
        </is>
      </c>
      <c r="G4" s="3" t="n"/>
      <c r="H4" s="3" t="inlineStr">
        <is>
          <t>AD-38</t>
        </is>
      </c>
      <c r="I4" s="3" t="inlineStr">
        <is>
          <t>No</t>
        </is>
      </c>
    </row>
    <row r="5">
      <c r="A5" s="3" t="inlineStr">
        <is>
          <t>ADM-RSL-004</t>
        </is>
      </c>
      <c r="B5" s="3" t="inlineStr">
        <is>
          <t>All requests return empty</t>
        </is>
      </c>
      <c r="C5" s="3" t="inlineStr">
        <is>
          <t>All tables empty</t>
        </is>
      </c>
      <c r="D5" s="3" t="inlineStr">
        <is>
          <t>1. Open each tab</t>
        </is>
      </c>
      <c r="E5" s="3" t="inlineStr">
        <is>
          <t>The three empty messages and an empty directory; KPIs show 0</t>
        </is>
      </c>
      <c r="F5" s="3" t="inlineStr">
        <is>
          <t>P2</t>
        </is>
      </c>
      <c r="G5" s="3" t="n"/>
      <c r="H5" s="3" t="inlineStr">
        <is>
          <t>AD-22</t>
        </is>
      </c>
      <c r="I5" s="3" t="inlineStr">
        <is>
          <t>No</t>
        </is>
      </c>
    </row>
    <row r="6">
      <c r="A6" s="3" t="inlineStr">
        <is>
          <t>ADM-RSL-005</t>
        </is>
      </c>
      <c r="B6" s="3" t="inlineStr">
        <is>
          <t>Session expires on the page</t>
        </is>
      </c>
      <c r="C6" s="3" t="inlineStr">
        <is>
          <t>A1; revoke the session</t>
        </is>
      </c>
      <c r="D6" s="3" t="inlineStr">
        <is>
          <t>1. Click Grant Access</t>
        </is>
      </c>
      <c r="E6" s="3" t="inlineStr">
        <is>
          <t>Sign-in requested; no false success</t>
        </is>
      </c>
      <c r="F6" s="3" t="inlineStr">
        <is>
          <t>P2</t>
        </is>
      </c>
      <c r="G6" s="3" t="n"/>
      <c r="H6" s="3" t="inlineStr">
        <is>
          <t>AD-33</t>
        </is>
      </c>
      <c r="I6" s="3" t="inlineStr">
        <is>
          <t>No</t>
        </is>
      </c>
    </row>
    <row r="7">
      <c r="A7" s="3" t="inlineStr">
        <is>
          <t>ADM-RSL-006</t>
        </is>
      </c>
      <c r="B7" s="3" t="inlineStr">
        <is>
          <t>Offline on submit</t>
        </is>
      </c>
      <c r="C7" s="3" t="inlineStr">
        <is>
          <t>A1; network off</t>
        </is>
      </c>
      <c r="D7" s="3" t="inlineStr">
        <is>
          <t>1. Grant Access</t>
        </is>
      </c>
      <c r="E7" s="3" t="inlineStr">
        <is>
          <t>'Database Error.'; form usable after reconnect</t>
        </is>
      </c>
      <c r="F7" s="3" t="inlineStr">
        <is>
          <t>P2</t>
        </is>
      </c>
      <c r="G7" s="3" t="n"/>
      <c r="H7" s="3" t="inlineStr">
        <is>
          <t>AD-33</t>
        </is>
      </c>
      <c r="I7" s="3" t="inlineStr">
        <is>
          <t>No</t>
        </is>
      </c>
    </row>
    <row r="8">
      <c r="A8" s="3" t="inlineStr">
        <is>
          <t>ADM-RSL-007</t>
        </is>
      </c>
      <c r="B8" s="3" t="inlineStr">
        <is>
          <t>Data exposure to other users</t>
        </is>
      </c>
      <c r="C8" s="3" t="inlineStr">
        <is>
          <t>Anonymous Supabase key; learner session</t>
        </is>
      </c>
      <c r="D8" s="3" t="inlineStr">
        <is>
          <t>1. Query user_enrollments, assignment_progress and user_stats directly</t>
        </is>
      </c>
      <c r="E8" s="3" t="inlineStr">
        <is>
          <t>Expected: denied. Known gap: rows are readable (R-AD-1, SCP-39); record the result</t>
        </is>
      </c>
      <c r="F8" s="3" t="inlineStr">
        <is>
          <t>P0</t>
        </is>
      </c>
      <c r="G8" s="3" t="n"/>
      <c r="H8" s="3" t="inlineStr">
        <is>
          <t>AD-45</t>
        </is>
      </c>
      <c r="I8" s="3" t="inlineStr">
        <is>
          <t>No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ADM-MOB-001</t>
        </is>
      </c>
      <c r="B2" s="3" t="inlineStr">
        <is>
          <t>Portal on a 390 px phone</t>
        </is>
      </c>
      <c r="C2" s="3" t="inlineStr">
        <is>
          <t>A1 on a phone</t>
        </is>
      </c>
      <c r="D2" s="3" t="inlineStr">
        <is>
          <t>1. Open /admin</t>
        </is>
      </c>
      <c r="E2" s="3" t="inlineStr">
        <is>
          <t>KPIs stack; tables scroll sideways inside their box; no page-level horizontal scroll</t>
        </is>
      </c>
      <c r="F2" s="3" t="inlineStr">
        <is>
          <t>P2</t>
        </is>
      </c>
      <c r="G2" s="3" t="n"/>
      <c r="H2" s="3" t="inlineStr">
        <is>
          <t>AD-41</t>
        </is>
      </c>
      <c r="I2" s="3" t="inlineStr">
        <is>
          <t>No</t>
        </is>
      </c>
    </row>
    <row r="3">
      <c r="A3" s="3" t="inlineStr">
        <is>
          <t>ADM-MOB-002</t>
        </is>
      </c>
      <c r="B3" s="3" t="inlineStr">
        <is>
          <t>Form on a phone</t>
        </is>
      </c>
      <c r="C3" s="3" t="inlineStr">
        <is>
          <t>MOB-001</t>
        </is>
      </c>
      <c r="D3" s="3" t="inlineStr">
        <is>
          <t>1. Use the form</t>
        </is>
      </c>
      <c r="E3" s="3" t="inlineStr">
        <is>
          <t>Fields and button fit and work</t>
        </is>
      </c>
      <c r="F3" s="3" t="inlineStr">
        <is>
          <t>P2</t>
        </is>
      </c>
      <c r="G3" s="3" t="n"/>
      <c r="H3" s="3" t="inlineStr">
        <is>
          <t>AD-41</t>
        </is>
      </c>
      <c r="I3" s="3" t="inlineStr">
        <is>
          <t>No</t>
        </is>
      </c>
    </row>
    <row r="4">
      <c r="A4" s="3" t="inlineStr">
        <is>
          <t>ADM-MOB-003</t>
        </is>
      </c>
      <c r="B4" s="3" t="inlineStr">
        <is>
          <t>Keyboard: tabs</t>
        </is>
      </c>
      <c r="C4" s="3" t="inlineStr">
        <is>
          <t>A1</t>
        </is>
      </c>
      <c r="D4" s="3" t="inlineStr">
        <is>
          <t>1. Tab to the tab buttons 2. Enter</t>
        </is>
      </c>
      <c r="E4" s="3" t="inlineStr">
        <is>
          <t>Each tab opens</t>
        </is>
      </c>
      <c r="F4" s="3" t="inlineStr">
        <is>
          <t>P2</t>
        </is>
      </c>
      <c r="G4" s="3" t="n"/>
      <c r="H4" s="3" t="inlineStr">
        <is>
          <t>AD-42</t>
        </is>
      </c>
      <c r="I4" s="3" t="inlineStr">
        <is>
          <t>No</t>
        </is>
      </c>
    </row>
    <row r="5">
      <c r="A5" s="3" t="inlineStr">
        <is>
          <t>ADM-MOB-004</t>
        </is>
      </c>
      <c r="B5" s="3" t="inlineStr">
        <is>
          <t>Keyboard: form and modal</t>
        </is>
      </c>
      <c r="C5" s="3" t="inlineStr">
        <is>
          <t>A1</t>
        </is>
      </c>
      <c r="D5" s="3" t="inlineStr">
        <is>
          <t>1. Tab through the form 2. Open View Code 3. Close with the keyboard</t>
        </is>
      </c>
      <c r="E5" s="3" t="inlineStr">
        <is>
          <t>All reachable and operable</t>
        </is>
      </c>
      <c r="F5" s="3" t="inlineStr">
        <is>
          <t>P2</t>
        </is>
      </c>
      <c r="G5" s="3" t="n"/>
      <c r="H5" s="3" t="inlineStr">
        <is>
          <t>AD-42</t>
        </is>
      </c>
      <c r="I5" s="3" t="inlineStr">
        <is>
          <t>No</t>
        </is>
      </c>
    </row>
    <row r="6">
      <c r="A6" s="3" t="inlineStr">
        <is>
          <t>ADM-MOB-005</t>
        </is>
      </c>
      <c r="B6" s="3" t="inlineStr">
        <is>
          <t>Firefox smoke</t>
        </is>
      </c>
      <c r="C6" s="3" t="inlineStr">
        <is>
          <t>Firefox project</t>
        </is>
      </c>
      <c r="D6" s="3" t="inlineStr">
        <is>
          <t>1. Run GATE-001, TBL-001, ENR-007</t>
        </is>
      </c>
      <c r="E6" s="3" t="inlineStr">
        <is>
          <t>Same as Chromium</t>
        </is>
      </c>
      <c r="F6" s="3" t="inlineStr">
        <is>
          <t>P2</t>
        </is>
      </c>
      <c r="G6" s="3" t="n"/>
      <c r="H6" s="3" t="inlineStr">
        <is>
          <t>AD-43</t>
        </is>
      </c>
      <c r="I6" s="3" t="inlineStr">
        <is>
          <t>No</t>
        </is>
      </c>
    </row>
    <row r="7">
      <c r="A7" s="3" t="inlineStr">
        <is>
          <t>ADM-MOB-006</t>
        </is>
      </c>
      <c r="B7" s="3" t="inlineStr">
        <is>
          <t>WebKit smoke</t>
        </is>
      </c>
      <c r="C7" s="3" t="inlineStr">
        <is>
          <t>WebKit project</t>
        </is>
      </c>
      <c r="D7" s="3" t="inlineStr">
        <is>
          <t>1. Run the same cases</t>
        </is>
      </c>
      <c r="E7" s="3" t="inlineStr">
        <is>
          <t>Same as Chromium</t>
        </is>
      </c>
      <c r="F7" s="3" t="inlineStr">
        <is>
          <t>P2</t>
        </is>
      </c>
      <c r="G7" s="3" t="n"/>
      <c r="H7" s="3" t="inlineStr">
        <is>
          <t>AD-43</t>
        </is>
      </c>
      <c r="I7" s="3" t="inlineStr">
        <is>
          <t>No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ADM-E2E-001</t>
        </is>
      </c>
      <c r="B2" s="3" t="inlineStr">
        <is>
          <t>Offline payment: grant and verify</t>
        </is>
      </c>
      <c r="C2" s="3" t="inlineStr">
        <is>
          <t>A1, U1</t>
        </is>
      </c>
      <c r="D2" s="3" t="inlineStr">
        <is>
          <t>1. Copy U1's id from Directory 2. Grant the fixture 3. Check Enrollments 4. Sign in as U1 5. Dashboard</t>
        </is>
      </c>
      <c r="E2" s="3" t="inlineStr">
        <is>
          <t>Row, KPI and learner view all agree</t>
        </is>
      </c>
      <c r="F2" s="3" t="inlineStr">
        <is>
          <t>P0</t>
        </is>
      </c>
      <c r="G2" s="3" t="n"/>
      <c r="H2" s="3" t="inlineStr">
        <is>
          <t>AD-28/30</t>
        </is>
      </c>
      <c r="I2" s="3" t="inlineStr">
        <is>
          <t>No</t>
        </is>
      </c>
    </row>
    <row r="3">
      <c r="A3" s="3" t="inlineStr">
        <is>
          <t>ADM-E2E-002</t>
        </is>
      </c>
      <c r="B3" s="3" t="inlineStr">
        <is>
          <t>Review a student's work</t>
        </is>
      </c>
      <c r="C3" s="3" t="inlineStr">
        <is>
          <t>S2 with a submission</t>
        </is>
      </c>
      <c r="D3" s="3" t="inlineStr">
        <is>
          <t>1. Assignments 2. View Code 3. Close</t>
        </is>
      </c>
      <c r="E3" s="3" t="inlineStr">
        <is>
          <t>Right code and name</t>
        </is>
      </c>
      <c r="F3" s="3" t="inlineStr">
        <is>
          <t>P0</t>
        </is>
      </c>
      <c r="G3" s="3" t="n"/>
      <c r="H3" s="3" t="inlineStr">
        <is>
          <t>AD-18</t>
        </is>
      </c>
      <c r="I3" s="3" t="inlineStr">
        <is>
          <t>No</t>
        </is>
      </c>
    </row>
    <row r="4">
      <c r="A4" s="3" t="inlineStr">
        <is>
          <t>ADM-E2E-003</t>
        </is>
      </c>
      <c r="B4" s="3" t="inlineStr">
        <is>
          <t>Paid purchase appears in the admin tables</t>
        </is>
      </c>
      <c r="C4" s="3" t="inlineStr">
        <is>
          <t>U1 buys the fixture (PRD 04)</t>
        </is>
      </c>
      <c r="D4" s="3" t="inlineStr">
        <is>
          <t>1. Open /admin Enrollments</t>
        </is>
      </c>
      <c r="E4" s="3" t="inlineStr">
        <is>
          <t>New row with the coupon (if used); KPIs rise</t>
        </is>
      </c>
      <c r="F4" s="3" t="inlineStr">
        <is>
          <t>P0</t>
        </is>
      </c>
      <c r="G4" s="3" t="n"/>
      <c r="H4" s="3" t="inlineStr">
        <is>
          <t>AD-12/29</t>
        </is>
      </c>
      <c r="I4" s="3" t="inlineStr">
        <is>
          <t>No</t>
        </is>
      </c>
    </row>
    <row r="5">
      <c r="A5" s="3" t="inlineStr">
        <is>
          <t>ADM-E2E-004</t>
        </is>
      </c>
      <c r="B5" s="3" t="inlineStr">
        <is>
          <t>Free enrolment appears in the admin tables</t>
        </is>
      </c>
      <c r="C5" s="3" t="inlineStr">
        <is>
          <t>U1 enrols with QA100 (PRD 05)</t>
        </is>
      </c>
      <c r="D5" s="3" t="inlineStr">
        <is>
          <t>1. Open /admin</t>
        </is>
      </c>
      <c r="E5" s="3" t="inlineStr">
        <is>
          <t>Row with coupon QA100; Coupons Used +1</t>
        </is>
      </c>
      <c r="F5" s="3" t="inlineStr">
        <is>
          <t>P0</t>
        </is>
      </c>
      <c r="G5" s="3" t="n"/>
      <c r="H5" s="3" t="inlineStr">
        <is>
          <t>AD-14</t>
        </is>
      </c>
      <c r="I5" s="3" t="inlineStr">
        <is>
          <t>No</t>
        </is>
      </c>
    </row>
    <row r="6">
      <c r="A6" s="3" t="inlineStr">
        <is>
          <t>ADM-E2E-005</t>
        </is>
      </c>
      <c r="B6" s="3" t="inlineStr">
        <is>
          <t>Learner cannot reach admin data</t>
        </is>
      </c>
      <c r="C6" s="3" t="inlineStr">
        <is>
          <t>S2</t>
        </is>
      </c>
      <c r="D6" s="3" t="inlineStr">
        <is>
          <t>1. Open /admin 2. Call both admin APIs</t>
        </is>
      </c>
      <c r="E6" s="3" t="inlineStr">
        <is>
          <t>Redirect; 403 on both</t>
        </is>
      </c>
      <c r="F6" s="3" t="inlineStr">
        <is>
          <t>P0</t>
        </is>
      </c>
      <c r="G6" s="3" t="n"/>
      <c r="H6" s="3" t="inlineStr">
        <is>
          <t>AD-02/35/36</t>
        </is>
      </c>
      <c r="I6" s="3" t="inlineStr">
        <is>
          <t>No</t>
        </is>
      </c>
    </row>
    <row r="7">
      <c r="A7" s="3" t="inlineStr">
        <is>
          <t>ADM-E2E-006</t>
        </is>
      </c>
      <c r="B7" s="3" t="inlineStr">
        <is>
          <t>Wrong id then right id</t>
        </is>
      </c>
      <c r="C7" s="3" t="inlineStr">
        <is>
          <t>A1</t>
        </is>
      </c>
      <c r="D7" s="3" t="inlineStr">
        <is>
          <t>1. Enter an unknown id 2. Read the error 3. Enter the right id</t>
        </is>
      </c>
      <c r="E7" s="3" t="inlineStr">
        <is>
          <t>Error first, success second, one row</t>
        </is>
      </c>
      <c r="F7" s="3" t="inlineStr">
        <is>
          <t>P1</t>
        </is>
      </c>
      <c r="G7" s="3" t="n"/>
      <c r="H7" s="3" t="inlineStr">
        <is>
          <t>AD-26/28</t>
        </is>
      </c>
      <c r="I7" s="3" t="inlineStr">
        <is>
          <t>No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FR1, FR2, FR13 — Admin Gate and Page Load</t>
        </is>
      </c>
      <c r="B2" s="6">
        <f>'Admin Gate and Page Load'!G14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FR3 — KPI Cards</t>
        </is>
      </c>
      <c r="B3" s="6">
        <f>'KPI Cards'!G9</f>
        <v/>
      </c>
      <c r="D3" t="inlineStr">
        <is>
          <t>Passed</t>
        </is>
      </c>
      <c r="E3">
        <f>COUNTIF('Admin Gate and Page Load'!G2:G13, "Passed") + COUNTIF('KPI Cards'!G2:G8, "Passed") + COUNTIF('Directory and Enrollments'!G2:G12, "Passed") + COUNTIF('Progress Assignments and Engage'!G2:G16, "Passed") + COUNTIF('Manual Enrollment'!G2:G20, "Passed") + COUNTIF('Resilience and Empty States'!G2:G8, "Passed") + COUNTIF('Mobile Keyboard and Browsers'!G2:G7, "Passed") + COUNTIF('End-to-End Business-Critical'!G2:G7, "Passed")</f>
        <v/>
      </c>
    </row>
    <row r="4">
      <c r="A4" t="inlineStr">
        <is>
          <t>FR4, FR5, FR15 — Directory and Enrollments</t>
        </is>
      </c>
      <c r="B4" s="6">
        <f>'Directory and Enrollments'!G13</f>
        <v/>
      </c>
      <c r="D4" t="inlineStr">
        <is>
          <t>Failed</t>
        </is>
      </c>
      <c r="E4">
        <f>COUNTIF('Admin Gate and Page Load'!G2:G13, "Failed") + COUNTIF('KPI Cards'!G2:G8, "Failed") + COUNTIF('Directory and Enrollments'!G2:G12, "Failed") + COUNTIF('Progress Assignments and Engage'!G2:G16, "Failed") + COUNTIF('Manual Enrollment'!G2:G20, "Failed") + COUNTIF('Resilience and Empty States'!G2:G8, "Failed") + COUNTIF('Mobile Keyboard and Browsers'!G2:G7, "Failed") + COUNTIF('End-to-End Business-Critical'!G2:G7, "Failed")</f>
        <v/>
      </c>
    </row>
    <row r="5">
      <c r="A5" t="inlineStr">
        <is>
          <t>FR6, FR7, FR8, FR9, FR14 — Progress Assignments and Engagement</t>
        </is>
      </c>
      <c r="B5" s="6">
        <f>'Progress Assignments and Engage'!G17</f>
        <v/>
      </c>
      <c r="D5" t="inlineStr">
        <is>
          <t>Not Applicable</t>
        </is>
      </c>
      <c r="E5">
        <f>COUNTIF('Admin Gate and Page Load'!G2:G13, "NA") + COUNTIF('KPI Cards'!G2:G8, "NA") + COUNTIF('Directory and Enrollments'!G2:G12, "NA") + COUNTIF('Progress Assignments and Engage'!G2:G16, "NA") + COUNTIF('Manual Enrollment'!G2:G20, "NA") + COUNTIF('Resilience and Empty States'!G2:G8, "NA") + COUNTIF('Mobile Keyboard and Browsers'!G2:G7, "NA") + COUNTIF('End-to-End Business-Critical'!G2:G7, "NA")</f>
        <v/>
      </c>
    </row>
    <row r="6">
      <c r="A6" t="inlineStr">
        <is>
          <t>FR10, FR11, FR12 — Manual Enrollment</t>
        </is>
      </c>
      <c r="B6" s="6">
        <f>'Manual Enrollment'!G21</f>
        <v/>
      </c>
      <c r="D6" t="inlineStr">
        <is>
          <t>Not Tested Yet</t>
        </is>
      </c>
      <c r="E6">
        <f>E7-E3-E4-E5</f>
        <v/>
      </c>
    </row>
    <row r="7">
      <c r="A7" t="inlineStr">
        <is>
          <t>FR14, FR16 — Resilience and Empty States</t>
        </is>
      </c>
      <c r="B7" s="6">
        <f>'Resilience and Empty States'!G9</f>
        <v/>
      </c>
      <c r="D7" t="inlineStr">
        <is>
          <t>Total Test Cases</t>
        </is>
      </c>
      <c r="E7">
        <f>COUNTA('Admin Gate and Page Load'!A2:A13) + COUNTA('KPI Cards'!A2:A8) + COUNTA('Directory and Enrollments'!A2:A12) + COUNTA('Progress Assignments and Engage'!A2:A16) + COUNTA('Manual Enrollment'!A2:A20) + COUNTA('Resilience and Empty States'!A2:A8) + COUNTA('Mobile Keyboard and Browsers'!A2:A7) + COUNTA('End-to-End Business-Critical'!A2:A7)</f>
        <v/>
      </c>
    </row>
    <row r="8">
      <c r="A8" t="inlineStr">
        <is>
          <t>FR17, FR18 — Mobile Keyboard and Browsers</t>
        </is>
      </c>
      <c r="B8" s="6">
        <f>'Mobile Keyboard and Browsers'!G8</f>
        <v/>
      </c>
    </row>
    <row r="9">
      <c r="A9" t="inlineStr">
        <is>
          <t>FR1 to FR13 (journeys) — End-to-End Business-Critical</t>
        </is>
      </c>
      <c r="B9" s="6">
        <f>'End-to-End Business-Critical'!G8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2026-10-29T08:39:12Z</dcterms:created>
  <dcterms:modified xsi:type="dcterms:W3CDTF">2026-10-29T08:39:12Z</dcterms:modified>
</cp:coreProperties>
</file>