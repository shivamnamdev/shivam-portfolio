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User Data" sheetId="1" state="visible" r:id="rId1"/>
    <sheet name="Page Load" sheetId="2" state="visible" r:id="rId2"/>
    <sheet name="Interaction Latency" sheetId="3" state="visible" r:id="rId3"/>
    <sheet name="API Latency" sheetId="4" state="visible" r:id="rId4"/>
    <sheet name="Concurrency and Size" sheetId="5" state="visible" r:id="rId5"/>
    <sheet name="Production Build" sheetId="6" state="visible" r:id="rId6"/>
    <sheet name="Traceability to Functional Requ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B7E1CD"/>
        </patternFill>
      </fill>
    </dxf>
    <dxf>
      <fill>
        <patternFill patternType="solid">
          <bgColor rgb="00F4C7C3"/>
        </patternFill>
      </fill>
    </dxf>
    <dxf>
      <fill>
        <patternFill patternType="solid">
          <bgColor rgb="00FCE8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Execution status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'Traceability to Functional Requ'!$D$3:$D$6</f>
            </numRef>
          </cat>
          <val>
            <numRef>
              <f>'Traceability to Functional Requ'!$E$3:$E$6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39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42" customWidth="1" min="3" max="3"/>
  </cols>
  <sheetData>
    <row r="2">
      <c r="A2" s="1" t="inlineStr">
        <is>
          <t>Test Data / User Accounts</t>
        </is>
      </c>
    </row>
    <row r="3">
      <c r="A3" s="2" t="inlineStr">
        <is>
          <t>Test Data</t>
        </is>
      </c>
      <c r="B3" s="2" t="inlineStr">
        <is>
          <t>Description</t>
        </is>
      </c>
      <c r="C3" s="2" t="inlineStr">
        <is>
          <t>User ID</t>
        </is>
      </c>
    </row>
    <row r="4">
      <c r="A4" s="3" t="inlineStr">
        <is>
          <t>V1</t>
        </is>
      </c>
      <c r="B4" s="3" t="inlineStr">
        <is>
          <t>Visitor (no session)</t>
        </is>
      </c>
      <c r="C4" s="3" t="inlineStr">
        <is>
          <t>NA</t>
        </is>
      </c>
    </row>
    <row r="5">
      <c r="A5" s="3" t="inlineStr">
        <is>
          <t>L1</t>
        </is>
      </c>
      <c r="B5" s="3" t="inlineStr">
        <is>
          <t>Learner on the dashboard (mavish) and on the learning page (bazar)</t>
        </is>
      </c>
      <c r="C5" s="3" t="inlineStr">
        <is>
          <t>mavish.ps8@gmail.com / financetrail.bazar@gmail.com</t>
        </is>
      </c>
    </row>
    <row r="6">
      <c r="A6" s="3" t="inlineStr">
        <is>
          <t>A1</t>
        </is>
      </c>
      <c r="B6" s="3" t="inlineStr">
        <is>
          <t>Admin (portal and user directory)</t>
        </is>
      </c>
      <c r="C6" s="3" t="inlineStr">
        <is>
          <t>shivamnamdev.corp@gmail.com</t>
        </is>
      </c>
    </row>
    <row r="7">
      <c r="A7" s="3" t="inlineStr">
        <is>
          <t>ENV</t>
        </is>
      </c>
      <c r="B7" s="3" t="inlineStr">
        <is>
          <t>Environment: the dev server (next dev compiles on demand). Scale all time budgets with PERF_SCALE (about 0.4 against a production build); PERF_PRODUCTION=1 also enforces the script-size limit</t>
        </is>
      </c>
      <c r="C7" s="3" t="inlineStr">
        <is>
          <t>PERF_SCALE, PERF_PRODUCTION</t>
        </is>
      </c>
    </row>
    <row r="9">
      <c r="A9" s="4" t="inlineStr">
        <is>
          <t>Notes</t>
        </is>
      </c>
      <c r="B9" s="3" t="inlineStr">
        <is>
          <t>Every case measures first (the numbers are written to the report as 'perf' annotations) and then checks a budget. Pages are visited once to warm them up and measured on the second visit. Numbers on the dev server are inflated; use a production build for sign-off. Concurrency cases use up to 50 parallel requests, not a full load test.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PRF-PGE-001</t>
        </is>
      </c>
      <c r="B2" s="3" t="inlineStr">
        <is>
          <t>Home page</t>
        </is>
      </c>
      <c r="C2" s="3" t="inlineStr">
        <is>
          <t>V1</t>
        </is>
      </c>
      <c r="D2" s="3" t="inlineStr">
        <is>
          <t>1. Open / twice; read navigation timing and LCP</t>
        </is>
      </c>
      <c r="E2" s="3" t="inlineStr">
        <is>
          <t>TTFB &lt; 1.5 s, load &lt; 6 s, LCP &lt; 4 s, fewer than 120 requests</t>
        </is>
      </c>
      <c r="F2" s="3" t="inlineStr">
        <is>
          <t>P1</t>
        </is>
      </c>
      <c r="G2" s="3" t="n"/>
      <c r="H2" s="3" t="inlineStr">
        <is>
          <t>PF-01</t>
        </is>
      </c>
      <c r="I2" s="3" t="inlineStr">
        <is>
          <t>tests/perf/perf-budgets.spec.ts</t>
        </is>
      </c>
    </row>
    <row r="3">
      <c r="A3" s="3" t="inlineStr">
        <is>
          <t>PRF-PGE-002</t>
        </is>
      </c>
      <c r="B3" s="3" t="inlineStr">
        <is>
          <t>Catalog</t>
        </is>
      </c>
      <c r="C3" s="3" t="inlineStr">
        <is>
          <t>V1</t>
        </is>
      </c>
      <c r="D3" s="3" t="inlineStr">
        <is>
          <t>1. Same on /courses</t>
        </is>
      </c>
      <c r="E3" s="3" t="inlineStr">
        <is>
          <t>Same budgets</t>
        </is>
      </c>
      <c r="F3" s="3" t="inlineStr">
        <is>
          <t>P1</t>
        </is>
      </c>
      <c r="G3" s="3" t="n"/>
      <c r="H3" s="3" t="inlineStr">
        <is>
          <t>PF-01</t>
        </is>
      </c>
      <c r="I3" s="3" t="inlineStr">
        <is>
          <t>tests/perf/perf-budgets.spec.ts</t>
        </is>
      </c>
    </row>
    <row r="4">
      <c r="A4" s="3" t="inlineStr">
        <is>
          <t>PRF-PGE-003</t>
        </is>
      </c>
      <c r="B4" s="3" t="inlineStr">
        <is>
          <t>Contact</t>
        </is>
      </c>
      <c r="C4" s="3" t="inlineStr">
        <is>
          <t>V1</t>
        </is>
      </c>
      <c r="D4" s="3" t="inlineStr">
        <is>
          <t>1. Same on /contact</t>
        </is>
      </c>
      <c r="E4" s="3" t="inlineStr">
        <is>
          <t>Same budgets</t>
        </is>
      </c>
      <c r="F4" s="3" t="inlineStr">
        <is>
          <t>P2</t>
        </is>
      </c>
      <c r="G4" s="3" t="n"/>
      <c r="H4" s="3" t="inlineStr">
        <is>
          <t>PF-01</t>
        </is>
      </c>
      <c r="I4" s="3" t="inlineStr">
        <is>
          <t>tests/perf/perf-budgets.spec.ts</t>
        </is>
      </c>
    </row>
    <row r="5">
      <c r="A5" s="3" t="inlineStr">
        <is>
          <t>PRF-PGE-004</t>
        </is>
      </c>
      <c r="B5" s="3" t="inlineStr">
        <is>
          <t>Course page</t>
        </is>
      </c>
      <c r="C5" s="3" t="inlineStr">
        <is>
          <t>V1; QA fixture</t>
        </is>
      </c>
      <c r="D5" s="3" t="inlineStr">
        <is>
          <t>1. Same on the course page</t>
        </is>
      </c>
      <c r="E5" s="3" t="inlineStr">
        <is>
          <t>load &lt; 7 s, LCP &lt; 4.5 s, JavaScript &lt; 6 MB</t>
        </is>
      </c>
      <c r="F5" s="3" t="inlineStr">
        <is>
          <t>P0</t>
        </is>
      </c>
      <c r="G5" s="3" t="n"/>
      <c r="H5" s="3" t="inlineStr">
        <is>
          <t>PF-01</t>
        </is>
      </c>
      <c r="I5" s="3" t="inlineStr">
        <is>
          <t>tests/perf/perf-budgets.spec.ts</t>
        </is>
      </c>
    </row>
    <row r="6">
      <c r="A6" s="3" t="inlineStr">
        <is>
          <t>PRF-PGE-005</t>
        </is>
      </c>
      <c r="B6" s="3" t="inlineStr">
        <is>
          <t>Dashboard</t>
        </is>
      </c>
      <c r="C6" s="3" t="inlineStr">
        <is>
          <t>L1</t>
        </is>
      </c>
      <c r="D6" s="3" t="inlineStr">
        <is>
          <t>1. Sign in, open /learning</t>
        </is>
      </c>
      <c r="E6" s="3" t="inlineStr">
        <is>
          <t>First course card visible in &lt; 6 s</t>
        </is>
      </c>
      <c r="F6" s="3" t="inlineStr">
        <is>
          <t>P0</t>
        </is>
      </c>
      <c r="G6" s="3" t="n"/>
      <c r="H6" s="3" t="inlineStr">
        <is>
          <t>PF-02</t>
        </is>
      </c>
      <c r="I6" s="3" t="inlineStr">
        <is>
          <t>tests/perf/perf-budgets.spec.ts</t>
        </is>
      </c>
    </row>
    <row r="7">
      <c r="A7" s="3" t="inlineStr">
        <is>
          <t>PRF-PGE-006</t>
        </is>
      </c>
      <c r="B7" s="3" t="inlineStr">
        <is>
          <t>Learning page</t>
        </is>
      </c>
      <c r="C7" s="3" t="inlineStr">
        <is>
          <t>L1</t>
        </is>
      </c>
      <c r="D7" s="3" t="inlineStr">
        <is>
          <t>1. Open a course with the video and GitHub calls answered locally</t>
        </is>
      </c>
      <c r="E7" s="3" t="inlineStr">
        <is>
          <t>Lesson list visible in &lt; 15 s</t>
        </is>
      </c>
      <c r="F7" s="3" t="inlineStr">
        <is>
          <t>P0</t>
        </is>
      </c>
      <c r="G7" s="3" t="n"/>
      <c r="H7" s="3" t="inlineStr">
        <is>
          <t>PF-02</t>
        </is>
      </c>
      <c r="I7" s="3" t="inlineStr">
        <is>
          <t>tests/perf/perf-budgets.spec.ts</t>
        </is>
      </c>
    </row>
    <row r="8">
      <c r="A8" s="3" t="inlineStr">
        <is>
          <t>PRF-PGE-007</t>
        </is>
      </c>
      <c r="B8" s="3" t="inlineStr">
        <is>
          <t>Admin portal</t>
        </is>
      </c>
      <c r="C8" s="3" t="inlineStr">
        <is>
          <t>A1</t>
        </is>
      </c>
      <c r="D8" s="3" t="inlineStr">
        <is>
          <t>1. Open /admin</t>
        </is>
      </c>
      <c r="E8" s="3" t="inlineStr">
        <is>
          <t>First table row visible in &lt; 12 s</t>
        </is>
      </c>
      <c r="F8" s="3" t="inlineStr">
        <is>
          <t>P1</t>
        </is>
      </c>
      <c r="G8" s="3" t="n"/>
      <c r="H8" s="3" t="inlineStr">
        <is>
          <t>PF-02</t>
        </is>
      </c>
      <c r="I8" s="3" t="inlineStr">
        <is>
          <t>tests/perf/perf-budgets.spec.ts</t>
        </is>
      </c>
    </row>
    <row r="9">
      <c r="F9" s="4" t="inlineStr">
        <is>
          <t>Coverage</t>
        </is>
      </c>
      <c r="G9" s="6">
        <f>IF(COUNTA(A2:A8)=0,0,(COUNTIF(G2:G8,"Passed")+COUNTIF(G2:G8,"Failed")+COUNTIF(G2:G8,"NA"))/COUNTA(A2:A8))</f>
        <v/>
      </c>
    </row>
  </sheetData>
  <conditionalFormatting sqref="G2:G8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8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PRF-UIX-001</t>
        </is>
      </c>
      <c r="B2" s="3" t="inlineStr">
        <is>
          <t>Currency toggle</t>
        </is>
      </c>
      <c r="C2" s="3" t="inlineStr">
        <is>
          <t>L1; QA fixture</t>
        </is>
      </c>
      <c r="D2" s="3" t="inlineStr">
        <is>
          <t>1. Click International; measure click to second painted frame</t>
        </is>
      </c>
      <c r="E2" s="3" t="inlineStr">
        <is>
          <t>&lt; 250 ms</t>
        </is>
      </c>
      <c r="F2" s="3" t="inlineStr">
        <is>
          <t>P1</t>
        </is>
      </c>
      <c r="G2" s="3" t="n"/>
      <c r="H2" s="3" t="inlineStr">
        <is>
          <t>PF-03</t>
        </is>
      </c>
      <c r="I2" s="3" t="inlineStr">
        <is>
          <t>tests/perf/perf-budgets.spec.ts</t>
        </is>
      </c>
    </row>
    <row r="3">
      <c r="A3" s="3" t="inlineStr">
        <is>
          <t>PRF-UIX-002</t>
        </is>
      </c>
      <c r="B3" s="3" t="inlineStr">
        <is>
          <t>Admin tab switch</t>
        </is>
      </c>
      <c r="C3" s="3" t="inlineStr">
        <is>
          <t>A1</t>
        </is>
      </c>
      <c r="D3" s="3" t="inlineStr">
        <is>
          <t>1. Click Enrollments; measure click to paint</t>
        </is>
      </c>
      <c r="E3" s="3" t="inlineStr">
        <is>
          <t>&lt; 400 ms</t>
        </is>
      </c>
      <c r="F3" s="3" t="inlineStr">
        <is>
          <t>P2</t>
        </is>
      </c>
      <c r="G3" s="3" t="n"/>
      <c r="H3" s="3" t="inlineStr">
        <is>
          <t>PF-03</t>
        </is>
      </c>
      <c r="I3" s="3" t="inlineStr">
        <is>
          <t>tests/perf/perf-budgets.spec.ts</t>
        </is>
      </c>
    </row>
    <row r="4">
      <c r="F4" s="4" t="inlineStr">
        <is>
          <t>Coverage</t>
        </is>
      </c>
      <c r="G4" s="6">
        <f>IF(COUNTA(A2:A3)=0,0,(COUNTIF(G2:G3,"Passed")+COUNTIF(G2:G3,"Failed")+COUNTIF(G2:G3,"NA"))/COUNTA(A2:A3))</f>
        <v/>
      </c>
    </row>
  </sheetData>
  <conditionalFormatting sqref="G2:G3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3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PRF-API-001</t>
        </is>
      </c>
      <c r="B2" s="3" t="inlineStr">
        <is>
          <t>AI tutor</t>
        </is>
      </c>
      <c r="C2" s="3" t="inlineStr">
        <is>
          <t>V1</t>
        </is>
      </c>
      <c r="D2" s="3" t="inlineStr">
        <is>
          <t>1. POST 8 times</t>
        </is>
      </c>
      <c r="E2" s="3" t="inlineStr">
        <is>
          <t>All 200; p95 &lt; 3 s (the mock waits 1.2 s)</t>
        </is>
      </c>
      <c r="F2" s="3" t="inlineStr">
        <is>
          <t>P2</t>
        </is>
      </c>
      <c r="G2" s="3" t="n"/>
      <c r="H2" s="3" t="inlineStr">
        <is>
          <t>PF-04</t>
        </is>
      </c>
      <c r="I2" s="3" t="inlineStr">
        <is>
          <t>tests/perf/perf-budgets.spec.ts</t>
        </is>
      </c>
    </row>
    <row r="3">
      <c r="A3" s="3" t="inlineStr">
        <is>
          <t>PRF-API-002</t>
        </is>
      </c>
      <c r="B3" s="3" t="inlineStr">
        <is>
          <t>User directory</t>
        </is>
      </c>
      <c r="C3" s="3" t="inlineStr">
        <is>
          <t>A1</t>
        </is>
      </c>
      <c r="D3" s="3" t="inlineStr">
        <is>
          <t>1. GET 5 times; read size</t>
        </is>
      </c>
      <c r="E3" s="3" t="inlineStr">
        <is>
          <t>p95 &lt; 5 s; under 600 bytes per user</t>
        </is>
      </c>
      <c r="F3" s="3" t="inlineStr">
        <is>
          <t>P1</t>
        </is>
      </c>
      <c r="G3" s="3" t="n"/>
      <c r="H3" s="3" t="inlineStr">
        <is>
          <t>PF-04</t>
        </is>
      </c>
      <c r="I3" s="3" t="inlineStr">
        <is>
          <t>tests/perf/perf-budgets.spec.ts</t>
        </is>
      </c>
    </row>
    <row r="4">
      <c r="A4" s="3" t="inlineStr">
        <is>
          <t>PRF-API-003</t>
        </is>
      </c>
      <c r="B4" s="3" t="inlineStr">
        <is>
          <t>XP sync</t>
        </is>
      </c>
      <c r="C4" s="3" t="inlineStr">
        <is>
          <t>L1</t>
        </is>
      </c>
      <c r="D4" s="3" t="inlineStr">
        <is>
          <t>1. POST 8 times</t>
        </is>
      </c>
      <c r="E4" s="3" t="inlineStr">
        <is>
          <t>p95 &lt; 3 s</t>
        </is>
      </c>
      <c r="F4" s="3" t="inlineStr">
        <is>
          <t>P1</t>
        </is>
      </c>
      <c r="G4" s="3" t="n"/>
      <c r="H4" s="3" t="inlineStr">
        <is>
          <t>PF-04</t>
        </is>
      </c>
      <c r="I4" s="3" t="inlineStr">
        <is>
          <t>tests/perf/perf-budgets.spec.ts</t>
        </is>
      </c>
    </row>
    <row r="5">
      <c r="A5" s="3" t="inlineStr">
        <is>
          <t>PRF-API-004</t>
        </is>
      </c>
      <c r="B5" s="3" t="inlineStr">
        <is>
          <t>Certificate</t>
        </is>
      </c>
      <c r="C5" s="3" t="inlineStr">
        <is>
          <t>L1</t>
        </is>
      </c>
      <c r="D5" s="3" t="inlineStr">
        <is>
          <t>1. POST 5 times</t>
        </is>
      </c>
      <c r="E5" s="3" t="inlineStr">
        <is>
          <t>p95 &lt; 3 s; file &lt; 100 KB</t>
        </is>
      </c>
      <c r="F5" s="3" t="inlineStr">
        <is>
          <t>P2</t>
        </is>
      </c>
      <c r="G5" s="3" t="n"/>
      <c r="H5" s="3" t="inlineStr">
        <is>
          <t>PF-04</t>
        </is>
      </c>
      <c r="I5" s="3" t="inlineStr">
        <is>
          <t>tests/perf/perf-budgets.spec.ts</t>
        </is>
      </c>
    </row>
    <row r="6">
      <c r="A6" s="3" t="inlineStr">
        <is>
          <t>PRF-API-005</t>
        </is>
      </c>
      <c r="B6" s="3" t="inlineStr">
        <is>
          <t>Create order</t>
        </is>
      </c>
      <c r="C6" s="3" t="inlineStr">
        <is>
          <t>L1; Razorpay test keys</t>
        </is>
      </c>
      <c r="D6" s="3" t="inlineStr">
        <is>
          <t>1. POST 5 times</t>
        </is>
      </c>
      <c r="E6" s="3" t="inlineStr">
        <is>
          <t>p95 &lt; 5 s</t>
        </is>
      </c>
      <c r="F6" s="3" t="inlineStr">
        <is>
          <t>P0</t>
        </is>
      </c>
      <c r="G6" s="3" t="n"/>
      <c r="H6" s="3" t="inlineStr">
        <is>
          <t>PF-04</t>
        </is>
      </c>
      <c r="I6" s="3" t="inlineStr">
        <is>
          <t>tests/perf/perf-budgets.spec.ts</t>
        </is>
      </c>
    </row>
    <row r="7">
      <c r="F7" s="4" t="inlineStr">
        <is>
          <t>Coverage</t>
        </is>
      </c>
      <c r="G7" s="6">
        <f>IF(COUNTA(A2:A6)=0,0,(COUNTIF(G2:G6,"Passed")+COUNTIF(G2:G6,"Failed")+COUNTIF(G2:G6,"NA"))/COUNTA(A2:A6))</f>
        <v/>
      </c>
    </row>
  </sheetData>
  <conditionalFormatting sqref="G2:G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6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PRF-LOD-001</t>
        </is>
      </c>
      <c r="B2" s="3" t="inlineStr">
        <is>
          <t>Many visitors</t>
        </is>
      </c>
      <c r="C2" s="3" t="inlineStr">
        <is>
          <t>V1</t>
        </is>
      </c>
      <c r="D2" s="3" t="inlineStr">
        <is>
          <t>1. 30 simultaneous GET /courses</t>
        </is>
      </c>
      <c r="E2" s="3" t="inlineStr">
        <is>
          <t>No 5xx; p95 &lt; 8 s</t>
        </is>
      </c>
      <c r="F2" s="3" t="inlineStr">
        <is>
          <t>P1</t>
        </is>
      </c>
      <c r="G2" s="3" t="n"/>
      <c r="H2" s="3" t="inlineStr">
        <is>
          <t>PF-05</t>
        </is>
      </c>
      <c r="I2" s="3" t="inlineStr">
        <is>
          <t>tests/perf/perf-budgets.spec.ts</t>
        </is>
      </c>
    </row>
    <row r="3">
      <c r="A3" s="3" t="inlineStr">
        <is>
          <t>PRF-LOD-002</t>
        </is>
      </c>
      <c r="B3" s="3" t="inlineStr">
        <is>
          <t>Parallel XP sync</t>
        </is>
      </c>
      <c r="C3" s="3" t="inlineStr">
        <is>
          <t>L1</t>
        </is>
      </c>
      <c r="D3" s="3" t="inlineStr">
        <is>
          <t>1. 20 simultaneous POST /api/xp/sync</t>
        </is>
      </c>
      <c r="E3" s="3" t="inlineStr">
        <is>
          <t>All 200; same points returned afterwards; p95 &lt; 10 s</t>
        </is>
      </c>
      <c r="F3" s="3" t="inlineStr">
        <is>
          <t>P1</t>
        </is>
      </c>
      <c r="G3" s="3" t="n"/>
      <c r="H3" s="3" t="inlineStr">
        <is>
          <t>PF-05</t>
        </is>
      </c>
      <c r="I3" s="3" t="inlineStr">
        <is>
          <t>tests/perf/perf-budgets.spec.ts</t>
        </is>
      </c>
    </row>
    <row r="4">
      <c r="A4" s="3" t="inlineStr">
        <is>
          <t>PRF-LOD-003</t>
        </is>
      </c>
      <c r="B4" s="3" t="inlineStr">
        <is>
          <t>Burst of refusals</t>
        </is>
      </c>
      <c r="C4" s="3" t="inlineStr">
        <is>
          <t>V1</t>
        </is>
      </c>
      <c r="D4" s="3" t="inlineStr">
        <is>
          <t>1. 50 simultaneous invalid send-email requests</t>
        </is>
      </c>
      <c r="E4" s="3" t="inlineStr">
        <is>
          <t>All 400; p95 &lt; 5 s</t>
        </is>
      </c>
      <c r="F4" s="3" t="inlineStr">
        <is>
          <t>P2</t>
        </is>
      </c>
      <c r="G4" s="3" t="n"/>
      <c r="H4" s="3" t="inlineStr">
        <is>
          <t>PF-05</t>
        </is>
      </c>
      <c r="I4" s="3" t="inlineStr">
        <is>
          <t>tests/perf/perf-budgets.spec.ts</t>
        </is>
      </c>
    </row>
    <row r="5">
      <c r="A5" s="3" t="inlineStr">
        <is>
          <t>PRF-PAY-001</t>
        </is>
      </c>
      <c r="B5" s="3" t="inlineStr">
        <is>
          <t>Payload size</t>
        </is>
      </c>
      <c r="C5" s="3" t="inlineStr">
        <is>
          <t>V1</t>
        </is>
      </c>
      <c r="D5" s="3" t="inlineStr">
        <is>
          <t>1. Open /; read the HTML and script sizes</t>
        </is>
      </c>
      <c r="E5" s="3" t="inlineStr">
        <is>
          <t>HTML &lt; 300 KB; on a production build no script &gt; 3 MB</t>
        </is>
      </c>
      <c r="F5" s="3" t="inlineStr">
        <is>
          <t>P2</t>
        </is>
      </c>
      <c r="G5" s="3" t="n"/>
      <c r="H5" s="3" t="inlineStr">
        <is>
          <t>PF-06</t>
        </is>
      </c>
      <c r="I5" s="3" t="inlineStr">
        <is>
          <t>tests/perf/perf-budgets.spec.ts</t>
        </is>
      </c>
    </row>
    <row r="6">
      <c r="A6" s="3" t="inlineStr">
        <is>
          <t>PRF-LOD-004</t>
        </is>
      </c>
      <c r="B6" s="3" t="inlineStr">
        <is>
          <t>Admin directory with many users</t>
        </is>
      </c>
      <c r="C6" s="3" t="inlineStr">
        <is>
          <t>A1; 1000+ users</t>
        </is>
      </c>
      <c r="D6" s="3" t="inlineStr">
        <is>
          <t>1. Open /admin</t>
        </is>
      </c>
      <c r="E6" s="3" t="inlineStr">
        <is>
          <t>Portal usable; directory request &lt; 10 s</t>
        </is>
      </c>
      <c r="F6" s="3" t="inlineStr">
        <is>
          <t>P1</t>
        </is>
      </c>
      <c r="G6" s="3" t="n"/>
      <c r="H6" s="3" t="inlineStr">
        <is>
          <t>PF-07</t>
        </is>
      </c>
      <c r="I6" s="3" t="inlineStr">
        <is>
          <t>No (needs a QA Clerk instance with 1000+ users)</t>
        </is>
      </c>
    </row>
    <row r="7">
      <c r="A7" s="3" t="inlineStr">
        <is>
          <t>PRF-LOD-005</t>
        </is>
      </c>
      <c r="B7" s="3" t="inlineStr">
        <is>
          <t>Sustained load</t>
        </is>
      </c>
      <c r="C7" s="3" t="inlineStr">
        <is>
          <t>Staging environment</t>
        </is>
      </c>
      <c r="D7" s="3" t="inlineStr">
        <is>
          <t>1. 100 virtual users for 10 minutes on browse and checkout</t>
        </is>
      </c>
      <c r="E7" s="3" t="inlineStr">
        <is>
          <t>Error rate &lt; 1 %, p95 &lt; 3 s</t>
        </is>
      </c>
      <c r="F7" s="3" t="inlineStr">
        <is>
          <t>P1</t>
        </is>
      </c>
      <c r="G7" s="3" t="n"/>
      <c r="H7" s="3" t="inlineStr">
        <is>
          <t>PF-07</t>
        </is>
      </c>
      <c r="I7" s="3" t="inlineStr">
        <is>
          <t>No (script ready in tests/perf/k6/browse-checkout.js; needs k6 and a staging environment)</t>
        </is>
      </c>
    </row>
    <row r="8">
      <c r="F8" s="4" t="inlineStr">
        <is>
          <t>Coverage</t>
        </is>
      </c>
      <c r="G8" s="6">
        <f>IF(COUNTA(A2:A7)=0,0,(COUNTIF(G2:G7,"Passed")+COUNTIF(G2:G7,"Failed")+COUNTIF(G2:G7,"NA"))/COUNTA(A2:A7))</f>
        <v/>
      </c>
    </row>
  </sheetData>
  <conditionalFormatting sqref="G2:G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7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PRF-PRD-001</t>
        </is>
      </c>
      <c r="B2" s="3" t="inlineStr">
        <is>
          <t>Static assets are cached for a year</t>
        </is>
      </c>
      <c r="C2" s="3" t="inlineStr">
        <is>
          <t>Production build</t>
        </is>
      </c>
      <c r="D2" s="3" t="inlineStr">
        <is>
          <t>1. Request a /_next/static JavaScript file</t>
        </is>
      </c>
      <c r="E2" s="3" t="inlineStr">
        <is>
          <t>Cache-Control public, max-age=31536000, immutable</t>
        </is>
      </c>
      <c r="F2" s="3" t="inlineStr">
        <is>
          <t>P1</t>
        </is>
      </c>
      <c r="G2" s="3" t="n"/>
      <c r="H2" s="3" t="inlineStr">
        <is>
          <t>PF-08</t>
        </is>
      </c>
      <c r="I2" s="3" t="inlineStr">
        <is>
          <t>tests/perf/perf-production.spec.ts</t>
        </is>
      </c>
    </row>
    <row r="3">
      <c r="A3" s="3" t="inlineStr">
        <is>
          <t>PRF-PRD-002</t>
        </is>
      </c>
      <c r="B3" s="3" t="inlineStr">
        <is>
          <t>Compression</t>
        </is>
      </c>
      <c r="C3" s="3" t="inlineStr">
        <is>
          <t>Production build</t>
        </is>
      </c>
      <c r="D3" s="3" t="inlineStr">
        <is>
          <t>1. Request / with Accept-Encoding gzip, br</t>
        </is>
      </c>
      <c r="E3" s="3" t="inlineStr">
        <is>
          <t>content-encoding gzip or br</t>
        </is>
      </c>
      <c r="F3" s="3" t="inlineStr">
        <is>
          <t>P1</t>
        </is>
      </c>
      <c r="G3" s="3" t="n"/>
      <c r="H3" s="3" t="inlineStr">
        <is>
          <t>PF-08</t>
        </is>
      </c>
      <c r="I3" s="3" t="inlineStr">
        <is>
          <t>tests/perf/perf-production.spec.ts</t>
        </is>
      </c>
    </row>
    <row r="4">
      <c r="A4" s="3" t="inlineStr">
        <is>
          <t>PRF-PRD-003</t>
        </is>
      </c>
      <c r="B4" s="3" t="inlineStr">
        <is>
          <t>Public pages can be cached</t>
        </is>
      </c>
      <c r="C4" s="3" t="inlineStr">
        <is>
          <t>Production build</t>
        </is>
      </c>
      <c r="D4" s="3" t="inlineStr">
        <is>
          <t>1. Read Cache-Control of /, /courses, /privacy, /terms, /refund, /about</t>
        </is>
      </c>
      <c r="E4" s="3" t="inlineStr">
        <is>
          <t>Not private or no-store (known failure: every page is dynamic, SCP-80)</t>
        </is>
      </c>
      <c r="F4" s="3" t="inlineStr">
        <is>
          <t>P1</t>
        </is>
      </c>
      <c r="G4" s="3" t="n"/>
      <c r="H4" s="3" t="inlineStr">
        <is>
          <t>PF-09</t>
        </is>
      </c>
      <c r="I4" s="3" t="inlineStr">
        <is>
          <t>tests/perf/perf-production.spec.ts (known failure)</t>
        </is>
      </c>
    </row>
    <row r="5">
      <c r="A5" s="3" t="inlineStr">
        <is>
          <t>PRF-PRD-004</t>
        </is>
      </c>
      <c r="B5" s="3" t="inlineStr">
        <is>
          <t>API answers with personal data are not cached</t>
        </is>
      </c>
      <c r="C5" s="3" t="inlineStr">
        <is>
          <t>A1; production build</t>
        </is>
      </c>
      <c r="D5" s="3" t="inlineStr">
        <is>
          <t>1. Read Cache-Control of /api/get-all-users</t>
        </is>
      </c>
      <c r="E5" s="3" t="inlineStr">
        <is>
          <t>no-store (known failure: header missing, SCP-81)</t>
        </is>
      </c>
      <c r="F5" s="3" t="inlineStr">
        <is>
          <t>P2</t>
        </is>
      </c>
      <c r="G5" s="3" t="n"/>
      <c r="H5" s="3" t="inlineStr">
        <is>
          <t>PF-09</t>
        </is>
      </c>
      <c r="I5" s="3" t="inlineStr">
        <is>
          <t>tests/perf/perf-production.spec.ts (known failure)</t>
        </is>
      </c>
    </row>
    <row r="6">
      <c r="A6" s="3" t="inlineStr">
        <is>
          <t>PRF-PRD-005</t>
        </is>
      </c>
      <c r="B6" s="3" t="inlineStr">
        <is>
          <t>First-load JavaScript per page</t>
        </is>
      </c>
      <c r="C6" s="3" t="inlineStr">
        <is>
          <t>Production build</t>
        </is>
      </c>
      <c r="D6" s="3" t="inlineStr">
        <is>
          <t>1. Sum the transferred JavaScript on /, /courses and the course page</t>
        </is>
      </c>
      <c r="E6" s="3" t="inlineStr">
        <is>
          <t>Under 600 KB, 600 KB and 800 KB</t>
        </is>
      </c>
      <c r="F6" s="3" t="inlineStr">
        <is>
          <t>P1</t>
        </is>
      </c>
      <c r="G6" s="3" t="n"/>
      <c r="H6" s="3" t="inlineStr">
        <is>
          <t>PF-10</t>
        </is>
      </c>
      <c r="I6" s="3" t="inlineStr">
        <is>
          <t>tests/perf/perf-production.spec.ts</t>
        </is>
      </c>
    </row>
    <row r="7">
      <c r="A7" s="3" t="inlineStr">
        <is>
          <t>PRF-PRD-006</t>
        </is>
      </c>
      <c r="B7" s="3" t="inlineStr">
        <is>
          <t>Image size</t>
        </is>
      </c>
      <c r="C7" s="3" t="inlineStr">
        <is>
          <t>Production build</t>
        </is>
      </c>
      <c r="D7" s="3" t="inlineStr">
        <is>
          <t>1. Find the largest image on / and the course page</t>
        </is>
      </c>
      <c r="E7" s="3" t="inlineStr">
        <is>
          <t>Under 300 KB</t>
        </is>
      </c>
      <c r="F7" s="3" t="inlineStr">
        <is>
          <t>P2</t>
        </is>
      </c>
      <c r="G7" s="3" t="n"/>
      <c r="H7" s="3" t="inlineStr">
        <is>
          <t>PF-10</t>
        </is>
      </c>
      <c r="I7" s="3" t="inlineStr">
        <is>
          <t>tests/perf/perf-production.spec.ts</t>
        </is>
      </c>
    </row>
    <row r="8">
      <c r="A8" s="3" t="inlineStr">
        <is>
          <t>PRF-PRD-007</t>
        </is>
      </c>
      <c r="B8" s="3" t="inlineStr">
        <is>
          <t>Time to first byte</t>
        </is>
      </c>
      <c r="C8" s="3" t="inlineStr">
        <is>
          <t>Production build</t>
        </is>
      </c>
      <c r="D8" s="3" t="inlineStr">
        <is>
          <t>1. Read TTFB of /, /courses, /privacy on a warm page</t>
        </is>
      </c>
      <c r="E8" s="3" t="inlineStr">
        <is>
          <t>Under 600 ms</t>
        </is>
      </c>
      <c r="F8" s="3" t="inlineStr">
        <is>
          <t>P1</t>
        </is>
      </c>
      <c r="G8" s="3" t="n"/>
      <c r="H8" s="3" t="inlineStr">
        <is>
          <t>PF-10</t>
        </is>
      </c>
      <c r="I8" s="3" t="inlineStr">
        <is>
          <t>tests/perf/perf-production.spec.ts</t>
        </is>
      </c>
    </row>
    <row r="9">
      <c r="A9" s="3" t="inlineStr">
        <is>
          <t>PRF-PRD-008</t>
        </is>
      </c>
      <c r="B9" s="3" t="inlineStr">
        <is>
          <t>Layout stability</t>
        </is>
      </c>
      <c r="C9" s="3" t="inlineStr">
        <is>
          <t>Production build</t>
        </is>
      </c>
      <c r="D9" s="3" t="inlineStr">
        <is>
          <t>1. Read cumulative layout shift on /, /courses and the course page</t>
        </is>
      </c>
      <c r="E9" s="3" t="inlineStr">
        <is>
          <t>Under 0.1</t>
        </is>
      </c>
      <c r="F9" s="3" t="inlineStr">
        <is>
          <t>P1</t>
        </is>
      </c>
      <c r="G9" s="3" t="n"/>
      <c r="H9" s="3" t="inlineStr">
        <is>
          <t>PF-10</t>
        </is>
      </c>
      <c r="I9" s="3" t="inlineStr">
        <is>
          <t>tests/perf/perf-production.spec.ts</t>
        </is>
      </c>
    </row>
    <row r="10">
      <c r="A10" s="3" t="inlineStr">
        <is>
          <t>PRF-PRD-009</t>
        </is>
      </c>
      <c r="B10" s="3" t="inlineStr">
        <is>
          <t>No failing requests on public pages</t>
        </is>
      </c>
      <c r="C10" s="3" t="inlineStr">
        <is>
          <t>Production build</t>
        </is>
      </c>
      <c r="D10" s="3" t="inlineStr">
        <is>
          <t>1. Open five public pages and list failed or 4xx/5xx requests (Clerk, YouTube, Razorpay left out; the Clerk dev-instance 401 on the first document is ignored)</t>
        </is>
      </c>
      <c r="E10" s="3" t="inlineStr">
        <is>
          <t>None</t>
        </is>
      </c>
      <c r="F10" s="3" t="inlineStr">
        <is>
          <t>P1</t>
        </is>
      </c>
      <c r="G10" s="3" t="n"/>
      <c r="H10" s="3" t="inlineStr">
        <is>
          <t>PF-10</t>
        </is>
      </c>
      <c r="I10" s="3" t="inlineStr">
        <is>
          <t>tests/perf/perf-production.spec.ts</t>
        </is>
      </c>
    </row>
    <row r="11">
      <c r="A11" s="3" t="inlineStr">
        <is>
          <t>PRF-PRD-010</t>
        </is>
      </c>
      <c r="B11" s="3" t="inlineStr">
        <is>
          <t>Slow phone: largest content</t>
        </is>
      </c>
      <c r="C11" s="3" t="inlineStr">
        <is>
          <t>Production build; CPU 4x slower; slow 4G</t>
        </is>
      </c>
      <c r="D11" s="3" t="inlineStr">
        <is>
          <t>1. Open / and the course page on a 390 px phone</t>
        </is>
      </c>
      <c r="E11" s="3" t="inlineStr">
        <is>
          <t>LCP under 4 s</t>
        </is>
      </c>
      <c r="F11" s="3" t="inlineStr">
        <is>
          <t>P0</t>
        </is>
      </c>
      <c r="G11" s="3" t="n"/>
      <c r="H11" s="3" t="inlineStr">
        <is>
          <t>PF-11</t>
        </is>
      </c>
      <c r="I11" s="3" t="inlineStr">
        <is>
          <t>tests/perf/perf-production.spec.ts</t>
        </is>
      </c>
    </row>
    <row r="12">
      <c r="A12" s="3" t="inlineStr">
        <is>
          <t>PRF-PRD-011</t>
        </is>
      </c>
      <c r="B12" s="3" t="inlineStr">
        <is>
          <t>Slow phone: learning page</t>
        </is>
      </c>
      <c r="C12" s="3" t="inlineStr">
        <is>
          <t>Production build; same throttling; L1</t>
        </is>
      </c>
      <c r="D12" s="3" t="inlineStr">
        <is>
          <t>1. Open the learning page</t>
        </is>
      </c>
      <c r="E12" s="3" t="inlineStr">
        <is>
          <t>Lesson list within 20 s (SCP-33, SCP-34)</t>
        </is>
      </c>
      <c r="F12" s="3" t="inlineStr">
        <is>
          <t>P1</t>
        </is>
      </c>
      <c r="G12" s="3" t="n"/>
      <c r="H12" s="3" t="inlineStr">
        <is>
          <t>PF-11</t>
        </is>
      </c>
      <c r="I12" s="3" t="inlineStr">
        <is>
          <t>tests/perf/perf-production.spec.ts</t>
        </is>
      </c>
    </row>
    <row r="13">
      <c r="A13" s="3" t="inlineStr">
        <is>
          <t>PRF-PRD-012</t>
        </is>
      </c>
      <c r="B13" s="3" t="inlineStr">
        <is>
          <t>Pages are prerendered</t>
        </is>
      </c>
      <c r="C13" s="3" t="inlineStr">
        <is>
          <t>Production build</t>
        </is>
      </c>
      <c r="D13" s="3" t="inlineStr">
        <is>
          <t>1. Read x-nextjs-prerender / x-nextjs-cache on /</t>
        </is>
      </c>
      <c r="E13" s="3" t="inlineStr">
        <is>
          <t>Present (known failure: every page is dynamic, SCP-80)</t>
        </is>
      </c>
      <c r="F13" s="3" t="inlineStr">
        <is>
          <t>P1</t>
        </is>
      </c>
      <c r="G13" s="3" t="n"/>
      <c r="H13" s="3" t="inlineStr">
        <is>
          <t>PF-09</t>
        </is>
      </c>
      <c r="I13" s="3" t="inlineStr">
        <is>
          <t>tests/perf/perf-production.spec.ts (known failure)</t>
        </is>
      </c>
    </row>
    <row r="14">
      <c r="A14" s="3" t="inlineStr">
        <is>
          <t>PRF-PRD-013</t>
        </is>
      </c>
      <c r="B14" s="3" t="inlineStr">
        <is>
          <t>k6 browse-and-checkout load</t>
        </is>
      </c>
      <c r="C14" s="3" t="inlineStr">
        <is>
          <t>Staging or local production server; k6 installed</t>
        </is>
      </c>
      <c r="D14" s="3" t="inlineStr">
        <is>
          <t>1. k6 run -e BASE_URL=... tests/perf/k6/browse-checkout.js (50 users, 5 minutes)</t>
        </is>
      </c>
      <c r="E14" s="3" t="inlineStr">
        <is>
          <t>Error rate under 1 %, p95 under 3 s; no real order, payment or e-mail is sent</t>
        </is>
      </c>
      <c r="F14" s="3" t="inlineStr">
        <is>
          <t>P1</t>
        </is>
      </c>
      <c r="G14" s="3" t="n"/>
      <c r="H14" s="3" t="inlineStr">
        <is>
          <t>PF-07</t>
        </is>
      </c>
      <c r="I14" s="3" t="inlineStr">
        <is>
          <t>No (k6 is not installed here; script is ready in tests/perf/k6)</t>
        </is>
      </c>
    </row>
    <row r="15">
      <c r="A15" s="3" t="inlineStr">
        <is>
          <t>PRF-AUT-001</t>
        </is>
      </c>
      <c r="B15" s="3" t="inlineStr">
        <is>
          <t>Sign-in time</t>
        </is>
      </c>
      <c r="C15" s="3" t="inlineStr">
        <is>
          <t>L1; production build</t>
        </is>
      </c>
      <c r="D15" s="3" t="inlineStr">
        <is>
          <t>1. Ticket sign-in from a blank page to the account button</t>
        </is>
      </c>
      <c r="E15" s="3" t="inlineStr">
        <is>
          <t>Under 8 s</t>
        </is>
      </c>
      <c r="F15" s="3" t="inlineStr">
        <is>
          <t>P1</t>
        </is>
      </c>
      <c r="G15" s="3" t="n"/>
      <c r="H15" s="3" t="inlineStr">
        <is>
          <t>PF-12</t>
        </is>
      </c>
      <c r="I15" s="3" t="inlineStr">
        <is>
          <t>tests/perf/perf-production.spec.ts</t>
        </is>
      </c>
    </row>
    <row r="16">
      <c r="A16" s="3" t="inlineStr">
        <is>
          <t>PRF-AUT-002</t>
        </is>
      </c>
      <c r="B16" s="3" t="inlineStr">
        <is>
          <t>Dashboard after sign-in</t>
        </is>
      </c>
      <c r="C16" s="3" t="inlineStr">
        <is>
          <t>L1; production build</t>
        </is>
      </c>
      <c r="D16" s="3" t="inlineStr">
        <is>
          <t>1. Open /learning and wait for the first course card</t>
        </is>
      </c>
      <c r="E16" s="3" t="inlineStr">
        <is>
          <t>Under 4 s (SCP-77)</t>
        </is>
      </c>
      <c r="F16" s="3" t="inlineStr">
        <is>
          <t>P1</t>
        </is>
      </c>
      <c r="G16" s="3" t="n"/>
      <c r="H16" s="3" t="inlineStr">
        <is>
          <t>PF-12</t>
        </is>
      </c>
      <c r="I16" s="3" t="inlineStr">
        <is>
          <t>tests/perf/perf-production.spec.ts</t>
        </is>
      </c>
    </row>
    <row r="17">
      <c r="F17" s="4" t="inlineStr">
        <is>
          <t>Coverage</t>
        </is>
      </c>
      <c r="G17" s="6">
        <f>IF(COUNTA(A2:A16)=0,0,(COUNTIF(G2:G16,"Passed")+COUNTIF(G2:G16,"Failed")+COUNTIF(G2:G16,"NA"))/COUNTA(A2:A16))</f>
        <v/>
      </c>
    </row>
  </sheetData>
  <conditionalFormatting sqref="G2:G1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16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8" customWidth="1" min="4" max="4"/>
  </cols>
  <sheetData>
    <row r="1">
      <c r="A1" s="4" t="inlineStr">
        <is>
          <t>Requirement</t>
        </is>
      </c>
      <c r="B1" s="4" t="inlineStr">
        <is>
          <t>Coverage Rate</t>
        </is>
      </c>
    </row>
    <row r="2">
      <c r="A2" t="inlineStr">
        <is>
          <t>FR1-FR3 — Page Load</t>
        </is>
      </c>
      <c r="B2" s="6">
        <f>'Page Load'!G9</f>
        <v/>
      </c>
      <c r="D2" s="4" t="inlineStr">
        <is>
          <t>Status</t>
        </is>
      </c>
      <c r="E2" s="4" t="inlineStr">
        <is>
          <t>Count</t>
        </is>
      </c>
    </row>
    <row r="3">
      <c r="A3" t="inlineStr">
        <is>
          <t>FR4 — Interaction Latency</t>
        </is>
      </c>
      <c r="B3" s="6">
        <f>'Interaction Latency'!G4</f>
        <v/>
      </c>
      <c r="D3" t="inlineStr">
        <is>
          <t>Passed</t>
        </is>
      </c>
      <c r="E3">
        <f>COUNTIF('Page Load'!G2:G8, "Passed") + COUNTIF('Interaction Latency'!G2:G3, "Passed") + COUNTIF('API Latency'!G2:G6, "Passed") + COUNTIF('Concurrency and Size'!G2:G7, "Passed") + COUNTIF('Production Build'!G2:G16, "Passed")</f>
        <v/>
      </c>
    </row>
    <row r="4">
      <c r="A4" t="inlineStr">
        <is>
          <t>FR5 — API Latency</t>
        </is>
      </c>
      <c r="B4" s="6">
        <f>'API Latency'!G7</f>
        <v/>
      </c>
      <c r="D4" t="inlineStr">
        <is>
          <t>Failed</t>
        </is>
      </c>
      <c r="E4">
        <f>COUNTIF('Page Load'!G2:G8, "Failed") + COUNTIF('Interaction Latency'!G2:G3, "Failed") + COUNTIF('API Latency'!G2:G6, "Failed") + COUNTIF('Concurrency and Size'!G2:G7, "Failed") + COUNTIF('Production Build'!G2:G16, "Failed")</f>
        <v/>
      </c>
    </row>
    <row r="5">
      <c r="A5" t="inlineStr">
        <is>
          <t>FR6-FR7 — Concurrency and Size</t>
        </is>
      </c>
      <c r="B5" s="6">
        <f>'Concurrency and Size'!G8</f>
        <v/>
      </c>
      <c r="D5" t="inlineStr">
        <is>
          <t>Not Applicable</t>
        </is>
      </c>
      <c r="E5">
        <f>COUNTIF('Page Load'!G2:G8, "NA") + COUNTIF('Interaction Latency'!G2:G3, "NA") + COUNTIF('API Latency'!G2:G6, "NA") + COUNTIF('Concurrency and Size'!G2:G7, "NA") + COUNTIF('Production Build'!G2:G16, "NA")</f>
        <v/>
      </c>
    </row>
    <row r="6">
      <c r="A6" t="inlineStr">
        <is>
          <t>FR8-FR12 — Production Build</t>
        </is>
      </c>
      <c r="B6" s="6">
        <f>'Production Build'!G17</f>
        <v/>
      </c>
      <c r="D6" t="inlineStr">
        <is>
          <t>Not Tested Yet</t>
        </is>
      </c>
      <c r="E6">
        <f>E7-E3-E4-E5</f>
        <v/>
      </c>
    </row>
    <row r="7">
      <c r="D7" t="inlineStr">
        <is>
          <t>Total Test Cases</t>
        </is>
      </c>
      <c r="E7">
        <f>COUNTA('Page Load'!A2:A8) + COUNTA('Interaction Latency'!A2:A3) + COUNTA('API Latency'!A2:A6) + COUNTA('Concurrency and Size'!A2:A7) + COUNTA('Production Build'!A2:A16)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2026-10-31T17:06:12Z</dcterms:created>
  <dcterms:modified xsi:type="dcterms:W3CDTF">2026-10-31T17:06:12Z</dcterms:modified>
</cp:coreProperties>
</file>