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Buy Now Entry and CTA States" sheetId="2" state="visible" r:id="rId2"/>
    <sheet name="Order Creation and Request" sheetId="3" state="visible" r:id="rId3"/>
    <sheet name="Razorpay Overlay and Amount Int" sheetId="4" state="visible" r:id="rId4"/>
    <sheet name="Payment Success and Verificatio" sheetId="5" state="visible" r:id="rId5"/>
    <sheet name="Payment Failure and Recovery" sheetId="6" state="visible" r:id="rId6"/>
    <sheet name="Duplicates and Idempotency" sheetId="7" state="visible" r:id="rId7"/>
    <sheet name="Post-Purchase State and Hand-of" sheetId="8" state="visible" r:id="rId8"/>
    <sheet name="Mobile, Browsers and Accessibil" sheetId="9" state="visible" r:id="rId9"/>
    <sheet name="Real Gateway Sandbox (Test Mode" sheetId="10" state="visible" r:id="rId10"/>
    <sheet name="End-to-End Business-Critical" sheetId="11" state="visible" r:id="rId11"/>
    <sheet name="Traceability to Functional Requ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Anonymous visitor (not signed in)</t>
        </is>
      </c>
      <c r="C4" s="3" t="inlineStr">
        <is>
          <t>NA</t>
        </is>
      </c>
    </row>
    <row r="5">
      <c r="A5" s="3" t="inlineStr">
        <is>
          <t>B1</t>
        </is>
      </c>
      <c r="B5" s="3" t="inlineStr">
        <is>
          <t>Signed-in buyer, not enrolled in any course (default buyer; QA100 allowed)</t>
        </is>
      </c>
      <c r="C5" s="3" t="inlineStr">
        <is>
          <t>shivamnamdev.edu@gmail.com</t>
        </is>
      </c>
    </row>
    <row r="6">
      <c r="A6" s="3" t="inlineStr">
        <is>
          <t>B2</t>
        </is>
      </c>
      <c r="B6" s="3" t="inlineStr">
        <is>
          <t>Signed-in buyer enrolled in Course A only (restricted-coupon 'wrong user'; mobile buyer)</t>
        </is>
      </c>
      <c r="C6" s="3" t="inlineStr">
        <is>
          <t>mavish.ps8@gmail.com</t>
        </is>
      </c>
    </row>
    <row r="7">
      <c r="A7" s="3" t="inlineStr">
        <is>
          <t>S1</t>
        </is>
      </c>
      <c r="B7" s="3" t="inlineStr">
        <is>
          <t>Enrolled student: Course B (closed cohort) and, when a test grants it, the open fixture course</t>
        </is>
      </c>
      <c r="C7" s="3" t="inlineStr">
        <is>
          <t>financetrail.bazar@gmail.com</t>
        </is>
      </c>
    </row>
    <row r="8">
      <c r="A8" s="3" t="inlineStr">
        <is>
          <t>A1</t>
        </is>
      </c>
      <c r="B8" s="3" t="inlineStr">
        <is>
          <t>Admin user (checks activity log / enrolment list)</t>
        </is>
      </c>
      <c r="C8" s="3" t="inlineStr">
        <is>
          <t>shivamnamdev.corp@gmail.com</t>
        </is>
      </c>
    </row>
    <row r="9">
      <c r="A9" s="3" t="inlineStr">
        <is>
          <t>C1</t>
        </is>
      </c>
      <c r="B9" s="3" t="inlineStr">
        <is>
          <t>Open paid course: QA fixture 'QA Checkout Sandbox' (qa-checkout-sandbox), INR 10 / USD 1, NEXT_PUBLIC_QA_FIXTURES=1</t>
        </is>
      </c>
      <c r="C9" s="3" t="inlineStr">
        <is>
          <t>/courses/qa-checkout-sandbox</t>
        </is>
      </c>
    </row>
    <row r="10">
      <c r="A10" s="3" t="inlineStr">
        <is>
          <t>C2</t>
        </is>
      </c>
      <c r="B10" s="3" t="inlineStr">
        <is>
          <t>Closed cohort: any real course, e.g. Git Beginner Live Session (git-beginner-batch-1)</t>
        </is>
      </c>
      <c r="C10" s="3" t="inlineStr">
        <is>
          <t>/courses/git-beginner-batch-1</t>
        </is>
      </c>
    </row>
    <row r="11">
      <c r="A11" s="3" t="inlineStr">
        <is>
          <t>K1</t>
        </is>
      </c>
      <c r="B11" s="3" t="inlineStr">
        <is>
          <t>Percentage coupon, public: BIRTHDAY20 (20% off)</t>
        </is>
      </c>
      <c r="C11" s="3" t="inlineStr">
        <is>
          <t>BIRTHDAY20</t>
        </is>
      </c>
    </row>
    <row r="12">
      <c r="A12" s="3" t="inlineStr">
        <is>
          <t>K2</t>
        </is>
      </c>
      <c r="B12" s="3" t="inlineStr">
        <is>
          <t>Fixed coupon, public, larger than the QA price: EXISTINGSTUDENT_BATCH03 (INR 1999 / USD 50 off): makes C1 free</t>
        </is>
      </c>
      <c r="C12" s="3" t="inlineStr">
        <is>
          <t>EXISTINGSTUDENT_BATCH03</t>
        </is>
      </c>
    </row>
    <row r="13">
      <c r="A13" s="3" t="inlineStr">
        <is>
          <t>K3</t>
        </is>
      </c>
      <c r="B13" s="3" t="inlineStr">
        <is>
          <t>Restricted coupon for other accounts only: SHIVAMSPECIAL</t>
        </is>
      </c>
      <c r="C13" s="3" t="inlineStr">
        <is>
          <t>SHIVAMSPECIAL</t>
        </is>
      </c>
    </row>
    <row r="14">
      <c r="A14" s="3" t="inlineStr">
        <is>
          <t>K4</t>
        </is>
      </c>
      <c r="B14" s="3" t="inlineStr">
        <is>
          <t>QA-only 100% coupon for B1 and B2: QA100 (exists only with the QA flag and user list)</t>
        </is>
      </c>
      <c r="C14" s="3" t="inlineStr">
        <is>
          <t>QA100</t>
        </is>
      </c>
    </row>
    <row r="16">
      <c r="A16" s="4" t="inlineStr">
        <is>
          <t>Notes</t>
        </is>
      </c>
      <c r="B16" s="3" t="inlineStr">
        <is>
          <t>Course A = python-beginners-batch-2 (closed), Course B = git-beginner-batch-1 (closed). Gateway: mocked Razorpay stub unless a case says 'real test-mode'. Never use live keys.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CHK-ENTRY-001</t>
        </is>
      </c>
      <c r="B2" s="3" t="inlineStr">
        <is>
          <t>Buy Now (INR) shown on an open cohort</t>
        </is>
      </c>
      <c r="C2" s="3" t="inlineStr">
        <is>
          <t>B1 signed in; C1 open; not enrolled</t>
        </is>
      </c>
      <c r="D2" s="3" t="inlineStr">
        <is>
          <t>1. Open /courses/qa-checkout-sandbox</t>
        </is>
      </c>
      <c r="E2" s="3" t="inlineStr">
        <is>
          <t>Buy Now (INR) is visible and enabled; no Enrollment Closed panel</t>
        </is>
      </c>
      <c r="F2" s="3" t="inlineStr">
        <is>
          <t>P0</t>
        </is>
      </c>
      <c r="G2" s="3" t="n"/>
      <c r="H2" s="3" t="inlineStr">
        <is>
          <t>CK-01</t>
        </is>
      </c>
      <c r="I2" s="3" t="inlineStr">
        <is>
          <t>CDP-CTA-001 (pricing-currency-coupon.spec.ts)</t>
        </is>
      </c>
    </row>
    <row r="3">
      <c r="A3" s="3" t="inlineStr">
        <is>
          <t>CHK-ENTRY-002</t>
        </is>
      </c>
      <c r="B3" s="3" t="inlineStr">
        <is>
          <t>Currency toggle changes the button label</t>
        </is>
      </c>
      <c r="C3" s="3" t="inlineStr">
        <is>
          <t>B1 on C1</t>
        </is>
      </c>
      <c r="D3" s="3" t="inlineStr">
        <is>
          <t>1. Click International</t>
        </is>
      </c>
      <c r="E3" s="3" t="inlineStr">
        <is>
          <t>Button label becomes Buy Now (USD); price shows $1</t>
        </is>
      </c>
      <c r="F3" s="3" t="inlineStr">
        <is>
          <t>P0</t>
        </is>
      </c>
      <c r="G3" s="3" t="n"/>
      <c r="H3" s="3" t="inlineStr">
        <is>
          <t>CK-02</t>
        </is>
      </c>
      <c r="I3" s="3" t="inlineStr">
        <is>
          <t>CDP-CUR-002/005 (pricing-currency-coupon.spec.ts)</t>
        </is>
      </c>
    </row>
    <row r="4">
      <c r="A4" s="3" t="inlineStr">
        <is>
          <t>CHK-ENTRY-003</t>
        </is>
      </c>
      <c r="B4" s="3" t="inlineStr">
        <is>
          <t>Switching back restores the INR label</t>
        </is>
      </c>
      <c r="C4" s="3" t="inlineStr">
        <is>
          <t>ENTRY-002 done</t>
        </is>
      </c>
      <c r="D4" s="3" t="inlineStr">
        <is>
          <t>1. Click India</t>
        </is>
      </c>
      <c r="E4" s="3" t="inlineStr">
        <is>
          <t>Button label returns to Buy Now (INR); price shows INR 10</t>
        </is>
      </c>
      <c r="F4" s="3" t="inlineStr">
        <is>
          <t>P1</t>
        </is>
      </c>
      <c r="G4" s="3" t="n"/>
      <c r="H4" s="3" t="inlineStr">
        <is>
          <t>CK-02</t>
        </is>
      </c>
      <c r="I4" s="3" t="inlineStr">
        <is>
          <t>CDP-CUR-009</t>
        </is>
      </c>
    </row>
    <row r="5">
      <c r="A5" s="3" t="inlineStr">
        <is>
          <t>CHK-ENTRY-004</t>
        </is>
      </c>
      <c r="B5" s="3" t="inlineStr">
        <is>
          <t>Closed cohort shows Enrollment Closed and no Buy Now</t>
        </is>
      </c>
      <c r="C5" s="3" t="inlineStr">
        <is>
          <t>Any user; C2 closed</t>
        </is>
      </c>
      <c r="D5" s="3" t="inlineStr">
        <is>
          <t>1. Open /courses/git-beginner-batch-1</t>
        </is>
      </c>
      <c r="E5" s="3" t="inlineStr">
        <is>
          <t>Enrollment Closed heading and View Open Cohorts are shown; no Buy Now, no coupon box</t>
        </is>
      </c>
      <c r="F5" s="3" t="inlineStr">
        <is>
          <t>P0</t>
        </is>
      </c>
      <c r="G5" s="3" t="n"/>
      <c r="H5" s="3" t="inlineStr">
        <is>
          <t>CK-03</t>
        </is>
      </c>
      <c r="I5" s="3" t="inlineStr">
        <is>
          <t>tests/ui/sales-funnel.spec.ts (@smoke)</t>
        </is>
      </c>
    </row>
    <row r="6">
      <c r="A6" s="3" t="inlineStr">
        <is>
          <t>CHK-ENTRY-005</t>
        </is>
      </c>
      <c r="B6" s="3" t="inlineStr">
        <is>
          <t>View Open Cohorts leads to the catalog</t>
        </is>
      </c>
      <c r="C6" s="3" t="inlineStr">
        <is>
          <t>C2 closed</t>
        </is>
      </c>
      <c r="D6" s="3" t="inlineStr">
        <is>
          <t>1. Click View Open Cohorts</t>
        </is>
      </c>
      <c r="E6" s="3" t="inlineStr">
        <is>
          <t>User lands on /courses</t>
        </is>
      </c>
      <c r="F6" s="3" t="inlineStr">
        <is>
          <t>P1</t>
        </is>
      </c>
      <c r="G6" s="3" t="n"/>
      <c r="H6" s="3" t="inlineStr">
        <is>
          <t>CK-03</t>
        </is>
      </c>
      <c r="I6" s="3" t="inlineStr">
        <is>
          <t>No</t>
        </is>
      </c>
    </row>
    <row r="7">
      <c r="A7" s="3" t="inlineStr">
        <is>
          <t>CHK-ENTRY-006</t>
        </is>
      </c>
      <c r="B7" s="3" t="inlineStr">
        <is>
          <t>Visitor click on Buy Now asks to sign in</t>
        </is>
      </c>
      <c r="C7" s="3" t="inlineStr">
        <is>
          <t>V1 on C1</t>
        </is>
      </c>
      <c r="D7" s="3" t="inlineStr">
        <is>
          <t>1. Click Buy Now (INR)</t>
        </is>
      </c>
      <c r="E7" s="3" t="inlineStr">
        <is>
          <t>Alert 'Please log in or create an account first to secure your spot!' appears and the Clerk sign-in opens</t>
        </is>
      </c>
      <c r="F7" s="3" t="inlineStr">
        <is>
          <t>P0</t>
        </is>
      </c>
      <c r="G7" s="3" t="n"/>
      <c r="H7" s="3" t="inlineStr">
        <is>
          <t>CK-04</t>
        </is>
      </c>
      <c r="I7" s="3" t="inlineStr">
        <is>
          <t>No</t>
        </is>
      </c>
    </row>
    <row r="8">
      <c r="A8" s="3" t="inlineStr">
        <is>
          <t>CHK-ENTRY-007</t>
        </is>
      </c>
      <c r="B8" s="3" t="inlineStr">
        <is>
          <t>Visitor click sends no order request</t>
        </is>
      </c>
      <c r="C8" s="3" t="inlineStr">
        <is>
          <t>V1 on C1; network log open</t>
        </is>
      </c>
      <c r="D8" s="3" t="inlineStr">
        <is>
          <t>1. Click Buy Now (INR) 2. Accept the alert</t>
        </is>
      </c>
      <c r="E8" s="3" t="inlineStr">
        <is>
          <t>No request to /api/create-order is made; no Razorpay script is loaded</t>
        </is>
      </c>
      <c r="F8" s="3" t="inlineStr">
        <is>
          <t>P0</t>
        </is>
      </c>
      <c r="G8" s="3" t="n"/>
      <c r="H8" s="3" t="inlineStr">
        <is>
          <t>CK-04</t>
        </is>
      </c>
      <c r="I8" s="3" t="inlineStr">
        <is>
          <t>No</t>
        </is>
      </c>
    </row>
    <row r="9">
      <c r="A9" s="3" t="inlineStr">
        <is>
          <t>CHK-ENTRY-008</t>
        </is>
      </c>
      <c r="B9" s="3" t="inlineStr">
        <is>
          <t>After sign-in the buyer returns to the same course page</t>
        </is>
      </c>
      <c r="C9" s="3" t="inlineStr">
        <is>
          <t>ENTRY-006 done</t>
        </is>
      </c>
      <c r="D9" s="3" t="inlineStr">
        <is>
          <t>1. Sign in as B1 in the Clerk window</t>
        </is>
      </c>
      <c r="E9" s="3" t="inlineStr">
        <is>
          <t>Buyer is back on /courses/qa-checkout-sandbox with Buy Now available</t>
        </is>
      </c>
      <c r="F9" s="3" t="inlineStr">
        <is>
          <t>P1</t>
        </is>
      </c>
      <c r="G9" s="3" t="n"/>
      <c r="H9" s="3" t="inlineStr">
        <is>
          <t>CK-04</t>
        </is>
      </c>
      <c r="I9" s="3" t="inlineStr">
        <is>
          <t>No</t>
        </is>
      </c>
    </row>
    <row r="10">
      <c r="A10" s="3" t="inlineStr">
        <is>
          <t>CHK-ENTRY-009</t>
        </is>
      </c>
      <c r="B10" s="3" t="inlineStr">
        <is>
          <t>Visitor coupon Apply also asks to sign in</t>
        </is>
      </c>
      <c r="C10" s="3" t="inlineStr">
        <is>
          <t>V1 on C1</t>
        </is>
      </c>
      <c r="D10" s="3" t="inlineStr">
        <is>
          <t>1. Type a code 2. Click Apply</t>
        </is>
      </c>
      <c r="E10" s="3" t="inlineStr">
        <is>
          <t>Alert 'Please log in first to apply a coupon!' and Clerk sign-in; no coupon is applied</t>
        </is>
      </c>
      <c r="F10" s="3" t="inlineStr">
        <is>
          <t>P1</t>
        </is>
      </c>
      <c r="G10" s="3" t="n"/>
      <c r="H10" s="3" t="inlineStr">
        <is>
          <t>CK-04</t>
        </is>
      </c>
      <c r="I10" s="3" t="inlineStr">
        <is>
          <t>No</t>
        </is>
      </c>
    </row>
    <row r="11">
      <c r="A11" s="3" t="inlineStr">
        <is>
          <t>CHK-ENTRY-010</t>
        </is>
      </c>
      <c r="B11" s="3" t="inlineStr">
        <is>
          <t>Enrolled student on an open cohort sees Go to Dashboard</t>
        </is>
      </c>
      <c r="C11" s="3" t="inlineStr">
        <is>
          <t>S1 granted C1 for the test</t>
        </is>
      </c>
      <c r="D11" s="3" t="inlineStr">
        <is>
          <t>1. Open C1</t>
        </is>
      </c>
      <c r="E11" s="3" t="inlineStr">
        <is>
          <t>'You are Enrolled! Go to Dashboard' is shown; no Buy Now; no coupon box</t>
        </is>
      </c>
      <c r="F11" s="3" t="inlineStr">
        <is>
          <t>P0</t>
        </is>
      </c>
      <c r="G11" s="3" t="n"/>
      <c r="H11" s="3" t="inlineStr">
        <is>
          <t>CK-05</t>
        </is>
      </c>
      <c r="I11" s="3" t="inlineStr">
        <is>
          <t>tests/ui/discovery/checkout-real-db.spec.ts (CDP-ENR-001)</t>
        </is>
      </c>
    </row>
    <row r="12">
      <c r="A12" s="3" t="inlineStr">
        <is>
          <t>CHK-ENTRY-011</t>
        </is>
      </c>
      <c r="B12" s="3" t="inlineStr">
        <is>
          <t>Enrolled student on a closed cohort sees Go to Dashboard</t>
        </is>
      </c>
      <c r="C12" s="3" t="inlineStr">
        <is>
          <t>S1 enrolled in Course B</t>
        </is>
      </c>
      <c r="D12" s="3" t="inlineStr">
        <is>
          <t>1. Open C2</t>
        </is>
      </c>
      <c r="E12" s="3" t="inlineStr">
        <is>
          <t>'You are Enrolled! Go to Dashboard' is shown instead of View Open Cohorts</t>
        </is>
      </c>
      <c r="F12" s="3" t="inlineStr">
        <is>
          <t>P0</t>
        </is>
      </c>
      <c r="G12" s="3" t="n"/>
      <c r="H12" s="3" t="inlineStr">
        <is>
          <t>CK-05</t>
        </is>
      </c>
      <c r="I12" s="3" t="inlineStr">
        <is>
          <t>tests/ui/auth (state S2)</t>
        </is>
      </c>
    </row>
    <row r="13">
      <c r="A13" s="3" t="inlineStr">
        <is>
          <t>CHK-ENTRY-012</t>
        </is>
      </c>
      <c r="B13" s="3" t="inlineStr">
        <is>
          <t>Go to Dashboard from the sales page opens the dashboard</t>
        </is>
      </c>
      <c r="C13" s="3" t="inlineStr">
        <is>
          <t>ENTRY-010 state</t>
        </is>
      </c>
      <c r="D13" s="3" t="inlineStr">
        <is>
          <t>1. Click Go to Dashboard</t>
        </is>
      </c>
      <c r="E13" s="3" t="inlineStr">
        <is>
          <t>User lands on /learning</t>
        </is>
      </c>
      <c r="F13" s="3" t="inlineStr">
        <is>
          <t>P1</t>
        </is>
      </c>
      <c r="G13" s="3" t="n"/>
      <c r="H13" s="3" t="inlineStr">
        <is>
          <t>CK-05</t>
        </is>
      </c>
      <c r="I13" s="3" t="inlineStr">
        <is>
          <t>CDP-ENR-003</t>
        </is>
      </c>
    </row>
    <row r="14">
      <c r="A14" s="3" t="inlineStr">
        <is>
          <t>CHK-ENTRY-013</t>
        </is>
      </c>
      <c r="B14" s="3" t="inlineStr">
        <is>
          <t>Free-coupon price switches the CTA</t>
        </is>
      </c>
      <c r="C14" s="3" t="inlineStr">
        <is>
          <t>B1 on C1</t>
        </is>
      </c>
      <c r="D14" s="3" t="inlineStr">
        <is>
          <t>1. Apply QA100</t>
        </is>
      </c>
      <c r="E14" s="3" t="inlineStr">
        <is>
          <t>Final price 0 and the button reads Enroll for Free (see PRD 05 for the flow)</t>
        </is>
      </c>
      <c r="F14" s="3" t="inlineStr">
        <is>
          <t>P1</t>
        </is>
      </c>
      <c r="G14" s="3" t="n"/>
      <c r="H14" s="3" t="inlineStr">
        <is>
          <t>CK-31</t>
        </is>
      </c>
      <c r="I14" s="3" t="inlineStr">
        <is>
          <t>CDP-CTA-002/005</t>
        </is>
      </c>
    </row>
    <row r="15">
      <c r="A15" s="3" t="inlineStr">
        <is>
          <t>CHK-ENTRY-014</t>
        </is>
      </c>
      <c r="B15" s="3" t="inlineStr">
        <is>
          <t>Removing the free coupon returns Buy Now</t>
        </is>
      </c>
      <c r="C15" s="3" t="inlineStr">
        <is>
          <t>ENTRY-013 done</t>
        </is>
      </c>
      <c r="D15" s="3" t="inlineStr">
        <is>
          <t>1. Apply an invalid code</t>
        </is>
      </c>
      <c r="E15" s="3" t="inlineStr">
        <is>
          <t>Button reads Buy Now (INR) again; price INR 10</t>
        </is>
      </c>
      <c r="F15" s="3" t="inlineStr">
        <is>
          <t>P1</t>
        </is>
      </c>
      <c r="G15" s="3" t="n"/>
      <c r="H15" s="3" t="inlineStr">
        <is>
          <t>CK-31</t>
        </is>
      </c>
      <c r="I15" s="3" t="inlineStr">
        <is>
          <t>CDP-CTA-006</t>
        </is>
      </c>
    </row>
    <row r="16">
      <c r="A16" s="3" t="inlineStr">
        <is>
          <t>CHK-ENTRY-015</t>
        </is>
      </c>
      <c r="B16" s="3" t="inlineStr">
        <is>
          <t>Buy Now is keyboard operable</t>
        </is>
      </c>
      <c r="C16" s="3" t="inlineStr">
        <is>
          <t>B1 on C1</t>
        </is>
      </c>
      <c r="D16" s="3" t="inlineStr">
        <is>
          <t>1. Tab to Buy Now 2. Press Enter</t>
        </is>
      </c>
      <c r="E16" s="3" t="inlineStr">
        <is>
          <t>Order request is sent exactly once</t>
        </is>
      </c>
      <c r="F16" s="3" t="inlineStr">
        <is>
          <t>P1</t>
        </is>
      </c>
      <c r="G16" s="3" t="n"/>
      <c r="H16" s="3" t="inlineStr">
        <is>
          <t>CK-01</t>
        </is>
      </c>
      <c r="I16" s="3" t="inlineStr">
        <is>
          <t>CDP-CTA-012</t>
        </is>
      </c>
    </row>
    <row r="17">
      <c r="F17" s="4" t="inlineStr">
        <is>
          <t>Coverage</t>
        </is>
      </c>
      <c r="G17" s="6">
        <f>IF(COUNTA(A2:A16)=0,0,(COUNTIF(G2:G16,"Passed")+COUNTIF(G2:G16,"Failed")+COUNTIF(G2:G16,"NA"))/COUNTA(A2:A16))</f>
        <v/>
      </c>
    </row>
  </sheetData>
  <conditionalFormatting sqref="G2:G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CHK-ORDER-001</t>
        </is>
      </c>
      <c r="B2" s="3" t="inlineStr">
        <is>
          <t>Processing state while the order is created</t>
        </is>
      </c>
      <c r="C2" s="3" t="inlineStr">
        <is>
          <t>B1 on C1; create-order slowed to 2 s</t>
        </is>
      </c>
      <c r="D2" s="3" t="inlineStr">
        <is>
          <t>1. Click Buy Now (INR)</t>
        </is>
      </c>
      <c r="E2" s="3" t="inlineStr">
        <is>
          <t>Button shows Processing…, is disabled and shows a spinner</t>
        </is>
      </c>
      <c r="F2" s="3" t="inlineStr">
        <is>
          <t>P0</t>
        </is>
      </c>
      <c r="G2" s="3" t="n"/>
      <c r="H2" s="3" t="inlineStr">
        <is>
          <t>CK-06</t>
        </is>
      </c>
      <c r="I2" s="3" t="inlineStr">
        <is>
          <t>CDP-CTA-007/008</t>
        </is>
      </c>
    </row>
    <row r="3">
      <c r="A3" s="3" t="inlineStr">
        <is>
          <t>CHK-ORDER-002</t>
        </is>
      </c>
      <c r="B3" s="3" t="inlineStr">
        <is>
          <t>Button recovers after the order response</t>
        </is>
      </c>
      <c r="C3" s="3" t="inlineStr">
        <is>
          <t>ORDER-001</t>
        </is>
      </c>
      <c r="D3" s="3" t="inlineStr">
        <is>
          <t>1. Wait for the response</t>
        </is>
      </c>
      <c r="E3" s="3" t="inlineStr">
        <is>
          <t>Processing state ends (button enabled again or overlay opens)</t>
        </is>
      </c>
      <c r="F3" s="3" t="inlineStr">
        <is>
          <t>P1</t>
        </is>
      </c>
      <c r="G3" s="3" t="n"/>
      <c r="H3" s="3" t="inlineStr">
        <is>
          <t>CK-06</t>
        </is>
      </c>
      <c r="I3" s="3" t="inlineStr">
        <is>
          <t>tests/ui/discovery/checkout-flow.spec.ts</t>
        </is>
      </c>
    </row>
    <row r="4">
      <c r="A4" s="3" t="inlineStr">
        <is>
          <t>CHK-ORDER-003</t>
        </is>
      </c>
      <c r="B4" s="3" t="inlineStr">
        <is>
          <t>Order request carries only course, currency and coupon</t>
        </is>
      </c>
      <c r="C4" s="3" t="inlineStr">
        <is>
          <t>B1 on C1; network log</t>
        </is>
      </c>
      <c r="D4" s="3" t="inlineStr">
        <is>
          <t>1. Click Buy Now (INR) with no coupon</t>
        </is>
      </c>
      <c r="E4" s="3" t="inlineStr">
        <is>
          <t>POST /api/create-order body is {courseId, currency:'INR'}; no price, user id or slug</t>
        </is>
      </c>
      <c r="F4" s="3" t="inlineStr">
        <is>
          <t>P0</t>
        </is>
      </c>
      <c r="G4" s="3" t="n"/>
      <c r="H4" s="3" t="inlineStr">
        <is>
          <t>CK-07</t>
        </is>
      </c>
      <c r="I4" s="3" t="inlineStr">
        <is>
          <t>CDP-PAY-001 (checkout-flow.spec.ts)</t>
        </is>
      </c>
    </row>
    <row r="5">
      <c r="A5" s="3" t="inlineStr">
        <is>
          <t>CHK-ORDER-004</t>
        </is>
      </c>
      <c r="B5" s="3" t="inlineStr">
        <is>
          <t>Coupon code is sent when applied</t>
        </is>
      </c>
      <c r="C5" s="3" t="inlineStr">
        <is>
          <t>B1 on C1</t>
        </is>
      </c>
      <c r="D5" s="3" t="inlineStr">
        <is>
          <t>1. Apply K1 2. Click Buy Now</t>
        </is>
      </c>
      <c r="E5" s="3" t="inlineStr">
        <is>
          <t>Body also contains couponCode 'BIRTHDAY20'</t>
        </is>
      </c>
      <c r="F5" s="3" t="inlineStr">
        <is>
          <t>P0</t>
        </is>
      </c>
      <c r="G5" s="3" t="n"/>
      <c r="H5" s="3" t="inlineStr">
        <is>
          <t>CK-07</t>
        </is>
      </c>
      <c r="I5" s="3" t="inlineStr">
        <is>
          <t>CDP-E2E-001</t>
        </is>
      </c>
    </row>
    <row r="6">
      <c r="A6" s="3" t="inlineStr">
        <is>
          <t>CHK-ORDER-005</t>
        </is>
      </c>
      <c r="B6" s="3" t="inlineStr">
        <is>
          <t>Currency is sent as USD after the toggle</t>
        </is>
      </c>
      <c r="C6" s="3" t="inlineStr">
        <is>
          <t>B1 on C1</t>
        </is>
      </c>
      <c r="D6" s="3" t="inlineStr">
        <is>
          <t>1. Click International 2. Click Buy Now (USD)</t>
        </is>
      </c>
      <c r="E6" s="3" t="inlineStr">
        <is>
          <t>Body has currency 'USD'</t>
        </is>
      </c>
      <c r="F6" s="3" t="inlineStr">
        <is>
          <t>P0</t>
        </is>
      </c>
      <c r="G6" s="3" t="n"/>
      <c r="H6" s="3" t="inlineStr">
        <is>
          <t>CK-07</t>
        </is>
      </c>
      <c r="I6" s="3" t="inlineStr">
        <is>
          <t>CDP-PAY-003/005</t>
        </is>
      </c>
    </row>
    <row r="7">
      <c r="A7" s="3" t="inlineStr">
        <is>
          <t>CHK-ORDER-006</t>
        </is>
      </c>
      <c r="B7" s="3" t="inlineStr">
        <is>
          <t>Razorpay script is requested</t>
        </is>
      </c>
      <c r="C7" s="3" t="inlineStr">
        <is>
          <t>B1 on C1</t>
        </is>
      </c>
      <c r="D7" s="3" t="inlineStr">
        <is>
          <t>1. Click Buy Now</t>
        </is>
      </c>
      <c r="E7" s="3" t="inlineStr">
        <is>
          <t>checkout.razorpay.com/v1/checkout.js is requested before the order call</t>
        </is>
      </c>
      <c r="F7" s="3" t="inlineStr">
        <is>
          <t>P1</t>
        </is>
      </c>
      <c r="G7" s="3" t="n"/>
      <c r="H7" s="3" t="inlineStr">
        <is>
          <t>CK-08</t>
        </is>
      </c>
      <c r="I7" s="3" t="inlineStr">
        <is>
          <t>No</t>
        </is>
      </c>
    </row>
    <row r="8">
      <c r="A8" s="3" t="inlineStr">
        <is>
          <t>CHK-ORDER-007</t>
        </is>
      </c>
      <c r="B8" s="3" t="inlineStr">
        <is>
          <t>create-order 401 shows the server message</t>
        </is>
      </c>
      <c r="C8" s="3" t="inlineStr">
        <is>
          <t>B1; response forced to 401</t>
        </is>
      </c>
      <c r="D8" s="3" t="inlineStr">
        <is>
          <t>1. Click Buy Now</t>
        </is>
      </c>
      <c r="E8" s="3" t="inlineStr">
        <is>
          <t>Alert shows the message (401 Unauthorized); button enabled; overlay not opened</t>
        </is>
      </c>
      <c r="F8" s="3" t="inlineStr">
        <is>
          <t>P0</t>
        </is>
      </c>
      <c r="G8" s="3" t="n"/>
      <c r="H8" s="3" t="inlineStr">
        <is>
          <t>CK-25</t>
        </is>
      </c>
      <c r="I8" s="3" t="inlineStr">
        <is>
          <t>No</t>
        </is>
      </c>
    </row>
    <row r="9">
      <c r="A9" s="3" t="inlineStr">
        <is>
          <t>CHK-ORDER-008</t>
        </is>
      </c>
      <c r="B9" s="3" t="inlineStr">
        <is>
          <t>create-order 400 (closed cohort / unknown course) is surfaced</t>
        </is>
      </c>
      <c r="C9" s="3" t="inlineStr">
        <is>
          <t>Response forced to 400</t>
        </is>
      </c>
      <c r="D9" s="3" t="inlineStr">
        <is>
          <t>1. Click Buy Now</t>
        </is>
      </c>
      <c r="E9" s="3" t="inlineStr">
        <is>
          <t>Alert with the server error; button enabled; no overlay</t>
        </is>
      </c>
      <c r="F9" s="3" t="inlineStr">
        <is>
          <t>P0</t>
        </is>
      </c>
      <c r="G9" s="3" t="n"/>
      <c r="H9" s="3" t="inlineStr">
        <is>
          <t>CK-25</t>
        </is>
      </c>
      <c r="I9" s="3" t="inlineStr">
        <is>
          <t>No</t>
        </is>
      </c>
    </row>
    <row r="10">
      <c r="A10" s="3" t="inlineStr">
        <is>
          <t>CHK-ORDER-009</t>
        </is>
      </c>
      <c r="B10" s="3" t="inlineStr">
        <is>
          <t>create-order 403 restricted coupon is surfaced</t>
        </is>
      </c>
      <c r="C10" s="3" t="inlineStr">
        <is>
          <t>B2 on C1 with K3</t>
        </is>
      </c>
      <c r="D10" s="3" t="inlineStr">
        <is>
          <t>1. Apply K3 (UI blocks) or force the request 2. Click Buy Now</t>
        </is>
      </c>
      <c r="E10" s="3" t="inlineStr">
        <is>
          <t>Server message 'This coupon is not valid for your account.' is shown; no overlay</t>
        </is>
      </c>
      <c r="F10" s="3" t="inlineStr">
        <is>
          <t>P0</t>
        </is>
      </c>
      <c r="G10" s="3" t="n"/>
      <c r="H10" s="3" t="inlineStr">
        <is>
          <t>CK-14</t>
        </is>
      </c>
      <c r="I10" s="3" t="inlineStr">
        <is>
          <t>No</t>
        </is>
      </c>
    </row>
    <row r="11">
      <c r="A11" s="3" t="inlineStr">
        <is>
          <t>CHK-ORDER-010</t>
        </is>
      </c>
      <c r="B11" s="3" t="inlineStr">
        <is>
          <t>create-order 500 shows a recoverable error</t>
        </is>
      </c>
      <c r="C11" s="3" t="inlineStr">
        <is>
          <t>Response forced to 500</t>
        </is>
      </c>
      <c r="D11" s="3" t="inlineStr">
        <is>
          <t>1. Click Buy Now</t>
        </is>
      </c>
      <c r="E11" s="3" t="inlineStr">
        <is>
          <t>Alert with the error; Buy Now enabled again; no overlay; no success modal</t>
        </is>
      </c>
      <c r="F11" s="3" t="inlineStr">
        <is>
          <t>P0</t>
        </is>
      </c>
      <c r="G11" s="3" t="n"/>
      <c r="H11" s="3" t="inlineStr">
        <is>
          <t>CK-25</t>
        </is>
      </c>
      <c r="I11" s="3" t="inlineStr">
        <is>
          <t>CDP-ERR-004 / CDP-PAY-010</t>
        </is>
      </c>
    </row>
    <row r="12">
      <c r="A12" s="3" t="inlineStr">
        <is>
          <t>CHK-ORDER-011</t>
        </is>
      </c>
      <c r="B12" s="3" t="inlineStr">
        <is>
          <t>Network drop while creating the order</t>
        </is>
      </c>
      <c r="C12" s="3" t="inlineStr">
        <is>
          <t>Request aborted</t>
        </is>
      </c>
      <c r="D12" s="3" t="inlineStr">
        <is>
          <t>1. Click Buy Now</t>
        </is>
      </c>
      <c r="E12" s="3" t="inlineStr">
        <is>
          <t>Alert 'Something went wrong connecting to the payment gateway.' (or error); button recovers; retry works</t>
        </is>
      </c>
      <c r="F12" s="3" t="inlineStr">
        <is>
          <t>P0</t>
        </is>
      </c>
      <c r="G12" s="3" t="n"/>
      <c r="H12" s="3" t="inlineStr">
        <is>
          <t>CK-25</t>
        </is>
      </c>
      <c r="I12" s="3" t="inlineStr">
        <is>
          <t>CDP-PAY-010 / CDP-ERR-009</t>
        </is>
      </c>
    </row>
    <row r="13">
      <c r="A13" s="3" t="inlineStr">
        <is>
          <t>CHK-ORDER-012</t>
        </is>
      </c>
      <c r="B13" s="3" t="inlineStr">
        <is>
          <t>Order timeout ends the loading state</t>
        </is>
      </c>
      <c r="C13" s="3" t="inlineStr">
        <is>
          <t>Request delayed beyond 30 s</t>
        </is>
      </c>
      <c r="D13" s="3" t="inlineStr">
        <is>
          <t>1. Click Buy Now</t>
        </is>
      </c>
      <c r="E13" s="3" t="inlineStr">
        <is>
          <t>Loading state ends with a clear error or retry; page usable</t>
        </is>
      </c>
      <c r="F13" s="3" t="inlineStr">
        <is>
          <t>P1</t>
        </is>
      </c>
      <c r="G13" s="3" t="n"/>
      <c r="H13" s="3" t="inlineStr">
        <is>
          <t>CK-25</t>
        </is>
      </c>
      <c r="I13" s="3" t="inlineStr">
        <is>
          <t>No</t>
        </is>
      </c>
    </row>
    <row r="14">
      <c r="A14" s="3" t="inlineStr">
        <is>
          <t>CHK-ORDER-013</t>
        </is>
      </c>
      <c r="B14" s="3" t="inlineStr">
        <is>
          <t>Closed cohort cannot be ordered even by a direct API call</t>
        </is>
      </c>
      <c r="C14" s="3" t="inlineStr">
        <is>
          <t>B1 signed in; C2 closed</t>
        </is>
      </c>
      <c r="D14" s="3" t="inlineStr">
        <is>
          <t>1. POST /api/create-order for the closed course</t>
        </is>
      </c>
      <c r="E14" s="3" t="inlineStr">
        <is>
          <t>400 'Enrollment is closed for this course'; no order</t>
        </is>
      </c>
      <c r="F14" s="3" t="inlineStr">
        <is>
          <t>P0</t>
        </is>
      </c>
      <c r="G14" s="3" t="n"/>
      <c r="H14" s="3" t="inlineStr">
        <is>
          <t>CK-25</t>
        </is>
      </c>
      <c r="I14" s="3" t="inlineStr">
        <is>
          <t>tests/api/crm.spec.ts</t>
        </is>
      </c>
    </row>
    <row r="15">
      <c r="A15" s="3" t="inlineStr">
        <is>
          <t>CHK-ORDER-014</t>
        </is>
      </c>
      <c r="B15" s="3" t="inlineStr">
        <is>
          <t>Order is rejected for an unauthenticated API call</t>
        </is>
      </c>
      <c r="C15" s="3" t="inlineStr">
        <is>
          <t>No session</t>
        </is>
      </c>
      <c r="D15" s="3" t="inlineStr">
        <is>
          <t>1. POST /api/create-order</t>
        </is>
      </c>
      <c r="E15" s="3" t="inlineStr">
        <is>
          <t>401; no order</t>
        </is>
      </c>
      <c r="F15" s="3" t="inlineStr">
        <is>
          <t>P0</t>
        </is>
      </c>
      <c r="G15" s="3" t="n"/>
      <c r="H15" s="3" t="inlineStr">
        <is>
          <t>CK-25</t>
        </is>
      </c>
      <c r="I15" s="3" t="inlineStr">
        <is>
          <t>tests/api/crm.spec.ts</t>
        </is>
      </c>
    </row>
    <row r="16">
      <c r="F16" s="4" t="inlineStr">
        <is>
          <t>Coverage</t>
        </is>
      </c>
      <c r="G16" s="6">
        <f>IF(COUNTA(A2:A15)=0,0,(COUNTIF(G2:G15,"Passed")+COUNTIF(G2:G15,"Failed")+COUNTIF(G2:G15,"NA"))/COUNTA(A2:A15))</f>
        <v/>
      </c>
    </row>
  </sheetData>
  <conditionalFormatting sqref="G2:G1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5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CHK-AMT-001</t>
        </is>
      </c>
      <c r="B2" s="3" t="inlineStr">
        <is>
          <t>Overlay opens after the order is created</t>
        </is>
      </c>
      <c r="C2" s="3" t="inlineStr">
        <is>
          <t>B1 on C1; gateway mocked</t>
        </is>
      </c>
      <c r="D2" s="3" t="inlineStr">
        <is>
          <t>1. Click Buy Now (INR)</t>
        </is>
      </c>
      <c r="E2" s="3" t="inlineStr">
        <is>
          <t>Razorpay overlay opens exactly once</t>
        </is>
      </c>
      <c r="F2" s="3" t="inlineStr">
        <is>
          <t>P0</t>
        </is>
      </c>
      <c r="G2" s="3" t="n"/>
      <c r="H2" s="3" t="inlineStr">
        <is>
          <t>CK-08</t>
        </is>
      </c>
      <c r="I2" s="3" t="inlineStr">
        <is>
          <t>CDP-PAY-002</t>
        </is>
      </c>
    </row>
    <row r="3">
      <c r="A3" s="3" t="inlineStr">
        <is>
          <t>CHK-AMT-002</t>
        </is>
      </c>
      <c r="B3" s="3" t="inlineStr">
        <is>
          <t>Overlay shows the order id, name and description</t>
        </is>
      </c>
      <c r="C3" s="3" t="inlineStr">
        <is>
          <t>AMT-001</t>
        </is>
      </c>
      <c r="D3" s="3" t="inlineStr">
        <is>
          <t>1. Inspect the options passed to Razorpay</t>
        </is>
      </c>
      <c r="E3" s="3" t="inlineStr">
        <is>
          <t>order_id is the created order; name 'Shivam Academy'; description 'Enrollment: QA Checkout Sandbox'</t>
        </is>
      </c>
      <c r="F3" s="3" t="inlineStr">
        <is>
          <t>P1</t>
        </is>
      </c>
      <c r="G3" s="3" t="n"/>
      <c r="H3" s="3" t="inlineStr">
        <is>
          <t>CK-08</t>
        </is>
      </c>
      <c r="I3" s="3" t="inlineStr">
        <is>
          <t>CDP-PAY-002</t>
        </is>
      </c>
    </row>
    <row r="4">
      <c r="A4" s="3" t="inlineStr">
        <is>
          <t>CHK-AMT-003</t>
        </is>
      </c>
      <c r="B4" s="3" t="inlineStr">
        <is>
          <t>Overlay theme colour</t>
        </is>
      </c>
      <c r="C4" s="3" t="inlineStr">
        <is>
          <t>AMT-001</t>
        </is>
      </c>
      <c r="D4" s="3" t="inlineStr">
        <is>
          <t>1. Inspect options</t>
        </is>
      </c>
      <c r="E4" s="3" t="inlineStr">
        <is>
          <t>theme.color is #f59e0b</t>
        </is>
      </c>
      <c r="F4" s="3" t="inlineStr">
        <is>
          <t>P1</t>
        </is>
      </c>
      <c r="G4" s="3" t="n"/>
      <c r="H4" s="3" t="inlineStr">
        <is>
          <t>CK-08</t>
        </is>
      </c>
      <c r="I4" s="3" t="inlineStr">
        <is>
          <t>No</t>
        </is>
      </c>
    </row>
    <row r="5">
      <c r="A5" s="3" t="inlineStr">
        <is>
          <t>CHK-AMT-004</t>
        </is>
      </c>
      <c r="B5" s="3" t="inlineStr">
        <is>
          <t>Overlay never exposes the secret key</t>
        </is>
      </c>
      <c r="C5" s="3" t="inlineStr">
        <is>
          <t>AMT-001</t>
        </is>
      </c>
      <c r="D5" s="3" t="inlineStr">
        <is>
          <t>1. Inspect options and page source</t>
        </is>
      </c>
      <c r="E5" s="3" t="inlineStr">
        <is>
          <t>Only the public key id appears; no key secret anywhere on the client</t>
        </is>
      </c>
      <c r="F5" s="3" t="inlineStr">
        <is>
          <t>P0</t>
        </is>
      </c>
      <c r="G5" s="3" t="n"/>
      <c r="H5" s="3" t="inlineStr">
        <is>
          <t>CK-08</t>
        </is>
      </c>
      <c r="I5" s="3" t="inlineStr">
        <is>
          <t>No</t>
        </is>
      </c>
    </row>
    <row r="6">
      <c r="A6" s="3" t="inlineStr">
        <is>
          <t>CHK-AMT-005</t>
        </is>
      </c>
      <c r="B6" s="3" t="inlineStr">
        <is>
          <t>Overlay prefill uses the signed-in user</t>
        </is>
      </c>
      <c r="C6" s="3" t="inlineStr">
        <is>
          <t>B1 on C1</t>
        </is>
      </c>
      <c r="D6" s="3" t="inlineStr">
        <is>
          <t>1. Open the overlay</t>
        </is>
      </c>
      <c r="E6" s="3" t="inlineStr">
        <is>
          <t>prefill.name and prefill.email equal B1's name and email</t>
        </is>
      </c>
      <c r="F6" s="3" t="inlineStr">
        <is>
          <t>P1</t>
        </is>
      </c>
      <c r="G6" s="3" t="n"/>
      <c r="H6" s="3" t="inlineStr">
        <is>
          <t>CK-09</t>
        </is>
      </c>
      <c r="I6" s="3" t="inlineStr">
        <is>
          <t>checkout-real-gateway.spec.ts (email shown in the real overlay)</t>
        </is>
      </c>
    </row>
    <row r="7">
      <c r="A7" s="3" t="inlineStr">
        <is>
          <t>CHK-AMT-006</t>
        </is>
      </c>
      <c r="B7" s="3" t="inlineStr">
        <is>
          <t>INR order amount in paise</t>
        </is>
      </c>
      <c r="C7" s="3" t="inlineStr">
        <is>
          <t>B1 on C1</t>
        </is>
      </c>
      <c r="D7" s="3" t="inlineStr">
        <is>
          <t>1. Click Buy Now (INR)</t>
        </is>
      </c>
      <c r="E7" s="3" t="inlineStr">
        <is>
          <t>Order amount 1000 paise (INR 10 x 100), currency INR</t>
        </is>
      </c>
      <c r="F7" s="3" t="inlineStr">
        <is>
          <t>P0</t>
        </is>
      </c>
      <c r="G7" s="3" t="n"/>
      <c r="H7" s="3" t="inlineStr">
        <is>
          <t>CK-10</t>
        </is>
      </c>
      <c r="I7" s="3" t="inlineStr">
        <is>
          <t>CDP-PAY-001/004; real order: CDP-PAY-003 (checkout-real-db.spec.ts)</t>
        </is>
      </c>
    </row>
    <row r="8">
      <c r="A8" s="3" t="inlineStr">
        <is>
          <t>CHK-AMT-007</t>
        </is>
      </c>
      <c r="B8" s="3" t="inlineStr">
        <is>
          <t>USD order amount in cents</t>
        </is>
      </c>
      <c r="C8" s="3" t="inlineStr">
        <is>
          <t>B1 on C1</t>
        </is>
      </c>
      <c r="D8" s="3" t="inlineStr">
        <is>
          <t>1. Click International 2. Click Buy Now (USD)</t>
        </is>
      </c>
      <c r="E8" s="3" t="inlineStr">
        <is>
          <t>Order amount 100 cents ($1 x 100), currency USD</t>
        </is>
      </c>
      <c r="F8" s="3" t="inlineStr">
        <is>
          <t>P0</t>
        </is>
      </c>
      <c r="G8" s="3" t="n"/>
      <c r="H8" s="3" t="inlineStr">
        <is>
          <t>CK-11</t>
        </is>
      </c>
      <c r="I8" s="3" t="inlineStr">
        <is>
          <t>CDP-PAY-005</t>
        </is>
      </c>
    </row>
    <row r="9">
      <c r="A9" s="3" t="inlineStr">
        <is>
          <t>CHK-AMT-008</t>
        </is>
      </c>
      <c r="B9" s="3" t="inlineStr">
        <is>
          <t>Percentage coupon: INR amount</t>
        </is>
      </c>
      <c r="C9" s="3" t="inlineStr">
        <is>
          <t>B1 on C1 with K1 applied</t>
        </is>
      </c>
      <c r="D9" s="3" t="inlineStr">
        <is>
          <t>1. Click Buy Now</t>
        </is>
      </c>
      <c r="E9" s="3" t="inlineStr">
        <is>
          <t>Displayed INR 8; order amount 800 paise</t>
        </is>
      </c>
      <c r="F9" s="3" t="inlineStr">
        <is>
          <t>P0</t>
        </is>
      </c>
      <c r="G9" s="3" t="n"/>
      <c r="H9" s="3" t="inlineStr">
        <is>
          <t>CK-12</t>
        </is>
      </c>
      <c r="I9" s="3" t="inlineStr">
        <is>
          <t>CDP-PAY-003 (real order API)</t>
        </is>
      </c>
    </row>
    <row r="10">
      <c r="A10" s="3" t="inlineStr">
        <is>
          <t>CHK-AMT-009</t>
        </is>
      </c>
      <c r="B10" s="3" t="inlineStr">
        <is>
          <t>Percentage coupon: USD amount</t>
        </is>
      </c>
      <c r="C10" s="3" t="inlineStr">
        <is>
          <t>B1 on C1 with K1, USD</t>
        </is>
      </c>
      <c r="D10" s="3" t="inlineStr">
        <is>
          <t>1. Click Buy Now (USD)</t>
        </is>
      </c>
      <c r="E10" s="3" t="inlineStr">
        <is>
          <t>Displayed $0.80; order amount 80 cents</t>
        </is>
      </c>
      <c r="F10" s="3" t="inlineStr">
        <is>
          <t>P0</t>
        </is>
      </c>
      <c r="G10" s="3" t="n"/>
      <c r="H10" s="3" t="inlineStr">
        <is>
          <t>CK-12</t>
        </is>
      </c>
      <c r="I10" s="3" t="inlineStr">
        <is>
          <t>No</t>
        </is>
      </c>
    </row>
    <row r="11">
      <c r="A11" s="3" t="inlineStr">
        <is>
          <t>CHK-AMT-010</t>
        </is>
      </c>
      <c r="B11" s="3" t="inlineStr">
        <is>
          <t>Fixed coupon larger than the price</t>
        </is>
      </c>
      <c r="C11" s="3" t="inlineStr">
        <is>
          <t>B1 on C1 with K2</t>
        </is>
      </c>
      <c r="D11" s="3" t="inlineStr">
        <is>
          <t>1. Check the button</t>
        </is>
      </c>
      <c r="E11" s="3" t="inlineStr">
        <is>
          <t>Price floors at INR 0 / $0 and the CTA is Enroll for Free (no paid order; see PRD 05). Note: C1 is too cheap to show a non-zero fixed discount</t>
        </is>
      </c>
      <c r="F11" s="3" t="inlineStr">
        <is>
          <t>P0</t>
        </is>
      </c>
      <c r="G11" s="3" t="n"/>
      <c r="H11" s="3" t="inlineStr">
        <is>
          <t>CK-13</t>
        </is>
      </c>
      <c r="I11" s="3" t="inlineStr">
        <is>
          <t>CDP-PRICE-010</t>
        </is>
      </c>
    </row>
    <row r="12">
      <c r="A12" s="3" t="inlineStr">
        <is>
          <t>CHK-AMT-011</t>
        </is>
      </c>
      <c r="B12" s="3" t="inlineStr">
        <is>
          <t>Restricted coupon for another user is refused</t>
        </is>
      </c>
      <c r="C12" s="3" t="inlineStr">
        <is>
          <t>B2 on C1</t>
        </is>
      </c>
      <c r="D12" s="3" t="inlineStr">
        <is>
          <t>1. Apply K3</t>
        </is>
      </c>
      <c r="E12" s="3" t="inlineStr">
        <is>
          <t>Message 'This coupon is restricted to specific accounts.'; price unchanged; Buy Now unchanged</t>
        </is>
      </c>
      <c r="F12" s="3" t="inlineStr">
        <is>
          <t>P0</t>
        </is>
      </c>
      <c r="G12" s="3" t="n"/>
      <c r="H12" s="3" t="inlineStr">
        <is>
          <t>CK-14</t>
        </is>
      </c>
      <c r="I12" s="3" t="inlineStr">
        <is>
          <t>CDP-COUP-006</t>
        </is>
      </c>
    </row>
    <row r="13">
      <c r="A13" s="3" t="inlineStr">
        <is>
          <t>CHK-AMT-012</t>
        </is>
      </c>
      <c r="B13" s="3" t="inlineStr">
        <is>
          <t>Restricted coupon forced to the server</t>
        </is>
      </c>
      <c r="C13" s="3" t="inlineStr">
        <is>
          <t>B2; call create-order with K3</t>
        </is>
      </c>
      <c r="D13" s="3" t="inlineStr">
        <is>
          <t>1. POST /api/create-order {couponCode:'SHIVAMSPECIAL'}</t>
        </is>
      </c>
      <c r="E13" s="3" t="inlineStr">
        <is>
          <t>403 'This coupon is not valid for your account.'; no order</t>
        </is>
      </c>
      <c r="F13" s="3" t="inlineStr">
        <is>
          <t>P0</t>
        </is>
      </c>
      <c r="G13" s="3" t="n"/>
      <c r="H13" s="3" t="inlineStr">
        <is>
          <t>CK-14</t>
        </is>
      </c>
      <c r="I13" s="3" t="inlineStr">
        <is>
          <t>No</t>
        </is>
      </c>
    </row>
    <row r="14">
      <c r="A14" s="3" t="inlineStr">
        <is>
          <t>CHK-AMT-013</t>
        </is>
      </c>
      <c r="B14" s="3" t="inlineStr">
        <is>
          <t>Invalid coupon is refused by the server</t>
        </is>
      </c>
      <c r="C14" s="3" t="inlineStr">
        <is>
          <t>B1; forced request</t>
        </is>
      </c>
      <c r="D14" s="3" t="inlineStr">
        <is>
          <t>1. POST /api/create-order with an unknown code</t>
        </is>
      </c>
      <c r="E14" s="3" t="inlineStr">
        <is>
          <t>400 'Invalid coupon code'; no order</t>
        </is>
      </c>
      <c r="F14" s="3" t="inlineStr">
        <is>
          <t>P0</t>
        </is>
      </c>
      <c r="G14" s="3" t="n"/>
      <c r="H14" s="3" t="inlineStr">
        <is>
          <t>CK-14</t>
        </is>
      </c>
      <c r="I14" s="3" t="inlineStr">
        <is>
          <t>No</t>
        </is>
      </c>
    </row>
    <row r="15">
      <c r="A15" s="3" t="inlineStr">
        <is>
          <t>CHK-AMT-014</t>
        </is>
      </c>
      <c r="B15" s="3" t="inlineStr">
        <is>
          <t>Currency change after a coupon recalculates before checkout</t>
        </is>
      </c>
      <c r="C15" s="3" t="inlineStr">
        <is>
          <t>B1 on C1 with K1</t>
        </is>
      </c>
      <c r="D15" s="3" t="inlineStr">
        <is>
          <t>1. Switch INR to USD</t>
        </is>
      </c>
      <c r="E15" s="3" t="inlineStr">
        <is>
          <t>Price shows $0.80; the order uses the currency visible at click time</t>
        </is>
      </c>
      <c r="F15" s="3" t="inlineStr">
        <is>
          <t>P0</t>
        </is>
      </c>
      <c r="G15" s="3" t="n"/>
      <c r="H15" s="3" t="inlineStr">
        <is>
          <t>CK-12</t>
        </is>
      </c>
      <c r="I15" s="3" t="inlineStr">
        <is>
          <t>CDP-PRICE-007</t>
        </is>
      </c>
    </row>
    <row r="16">
      <c r="A16" s="3" t="inlineStr">
        <is>
          <t>CHK-AMT-015</t>
        </is>
      </c>
      <c r="B16" s="3" t="inlineStr">
        <is>
          <t>Order is bound to the buyer and the course</t>
        </is>
      </c>
      <c r="C16" s="3" t="inlineStr">
        <is>
          <t>B1; real order via API</t>
        </is>
      </c>
      <c r="D16" s="3" t="inlineStr">
        <is>
          <t>1. Create an order 2. Read the order notes in Razorpay</t>
        </is>
      </c>
      <c r="E16" s="3" t="inlineStr">
        <is>
          <t>Notes contain B1's user id, courseId and courseSlug</t>
        </is>
      </c>
      <c r="F16" s="3" t="inlineStr">
        <is>
          <t>P0</t>
        </is>
      </c>
      <c r="G16" s="3" t="n"/>
      <c r="H16" s="3" t="inlineStr">
        <is>
          <t>CK-29</t>
        </is>
      </c>
      <c r="I16" s="3" t="inlineStr">
        <is>
          <t>No</t>
        </is>
      </c>
    </row>
    <row r="17">
      <c r="A17" s="3" t="inlineStr">
        <is>
          <t>CHK-AMT-016</t>
        </is>
      </c>
      <c r="B17" s="3" t="inlineStr">
        <is>
          <t>UI price equals server amount for every open course and currency</t>
        </is>
      </c>
      <c r="C17" s="3" t="inlineStr">
        <is>
          <t>All open courses (C1)</t>
        </is>
      </c>
      <c r="D17" s="3" t="inlineStr">
        <is>
          <t>1. For INR and USD read the shown price 2. Create the order</t>
        </is>
      </c>
      <c r="E17" s="3" t="inlineStr">
        <is>
          <t>Shown price x 100 equals the order amount in both currencies</t>
        </is>
      </c>
      <c r="F17" s="3" t="inlineStr">
        <is>
          <t>P0</t>
        </is>
      </c>
      <c r="G17" s="3" t="n"/>
      <c r="H17" s="3" t="inlineStr">
        <is>
          <t>CK-30</t>
        </is>
      </c>
      <c r="I17" s="3" t="inlineStr">
        <is>
          <t>CDP-PAY-003 (partial: fixture only)</t>
        </is>
      </c>
    </row>
    <row r="18">
      <c r="A18" s="3" t="inlineStr">
        <is>
          <t>CHK-AMT-017</t>
        </is>
      </c>
      <c r="B18" s="3" t="inlineStr">
        <is>
          <t>Price display parsing guard ($9.99 not 999)</t>
        </is>
      </c>
      <c r="C18" s="3" t="inlineStr">
        <is>
          <t>Unit level</t>
        </is>
      </c>
      <c r="D18" s="3" t="inlineStr">
        <is>
          <t>1. parsePrice('$9.99')</t>
        </is>
      </c>
      <c r="E18" s="3" t="inlineStr">
        <is>
          <t>9.99</t>
        </is>
      </c>
      <c r="F18" s="3" t="inlineStr">
        <is>
          <t>P0</t>
        </is>
      </c>
      <c r="G18" s="3" t="n"/>
      <c r="H18" s="3" t="inlineStr">
        <is>
          <t>CK-30</t>
        </is>
      </c>
      <c r="I18" s="3" t="inlineStr">
        <is>
          <t>tests/unit/pricing.spec.ts</t>
        </is>
      </c>
    </row>
    <row r="19">
      <c r="A19" s="3" t="inlineStr">
        <is>
          <t>CHK-AMT-018</t>
        </is>
      </c>
      <c r="B19" s="3" t="inlineStr">
        <is>
          <t>Amounts never go below one currency unit on a paid order</t>
        </is>
      </c>
      <c r="C19" s="3" t="inlineStr">
        <is>
          <t>K2 forced to the order API</t>
        </is>
      </c>
      <c r="D19" s="3" t="inlineStr">
        <is>
          <t>1. POST create-order with K2 on C1</t>
        </is>
      </c>
      <c r="E19" s="3" t="inlineStr">
        <is>
          <t>Server creates a paid order of at least 1 unit or refuses; never 0 or negative</t>
        </is>
      </c>
      <c r="F19" s="3" t="inlineStr">
        <is>
          <t>P1</t>
        </is>
      </c>
      <c r="G19" s="3" t="n"/>
      <c r="H19" s="3" t="inlineStr">
        <is>
          <t>CK-13</t>
        </is>
      </c>
      <c r="I19" s="3" t="inlineStr">
        <is>
          <t>No</t>
        </is>
      </c>
    </row>
    <row r="20">
      <c r="F20" s="4" t="inlineStr">
        <is>
          <t>Coverage</t>
        </is>
      </c>
      <c r="G20" s="6">
        <f>IF(COUNTA(A2:A19)=0,0,(COUNTIF(G2:G19,"Passed")+COUNTIF(G2:G19,"Failed")+COUNTIF(G2:G19,"NA"))/COUNTA(A2:A19))</f>
        <v/>
      </c>
    </row>
  </sheetData>
  <conditionalFormatting sqref="G2:G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CHK-PAY-001</t>
        </is>
      </c>
      <c r="B2" s="3" t="inlineStr">
        <is>
          <t>Paid happy path, INR</t>
        </is>
      </c>
      <c r="C2" s="3" t="inlineStr">
        <is>
          <t>B1 on C1; gateway mocked</t>
        </is>
      </c>
      <c r="D2" s="3" t="inlineStr">
        <is>
          <t>1. Click Buy Now (INR) 2. Trigger payment success</t>
        </is>
      </c>
      <c r="E2" s="3" t="inlineStr">
        <is>
          <t>Welcome Aboard! modal appears after verify-payment returns success</t>
        </is>
      </c>
      <c r="F2" s="3" t="inlineStr">
        <is>
          <t>P0</t>
        </is>
      </c>
      <c r="G2" s="3" t="n"/>
      <c r="H2" s="3" t="inlineStr">
        <is>
          <t>CK-15</t>
        </is>
      </c>
      <c r="I2" s="3" t="inlineStr">
        <is>
          <t>CDP-PAY-006 / CDP-E2E-001</t>
        </is>
      </c>
    </row>
    <row r="3">
      <c r="A3" s="3" t="inlineStr">
        <is>
          <t>CHK-PAY-002</t>
        </is>
      </c>
      <c r="B3" s="3" t="inlineStr">
        <is>
          <t>Paid happy path, USD</t>
        </is>
      </c>
      <c r="C3" s="3" t="inlineStr">
        <is>
          <t>B1 on C1, USD</t>
        </is>
      </c>
      <c r="D3" s="3" t="inlineStr">
        <is>
          <t>1. Click Buy Now (USD) 2. Trigger success</t>
        </is>
      </c>
      <c r="E3" s="3" t="inlineStr">
        <is>
          <t>Same as PAY-001; receipt shows $</t>
        </is>
      </c>
      <c r="F3" s="3" t="inlineStr">
        <is>
          <t>P0</t>
        </is>
      </c>
      <c r="G3" s="3" t="n"/>
      <c r="H3" s="3" t="inlineStr">
        <is>
          <t>CK-16</t>
        </is>
      </c>
      <c r="I3" s="3" t="inlineStr">
        <is>
          <t>No</t>
        </is>
      </c>
    </row>
    <row r="4">
      <c r="A4" s="3" t="inlineStr">
        <is>
          <t>CHK-PAY-003</t>
        </is>
      </c>
      <c r="B4" s="3" t="inlineStr">
        <is>
          <t>Paid happy path with a coupon</t>
        </is>
      </c>
      <c r="C4" s="3" t="inlineStr">
        <is>
          <t>B1 on C1 with K1</t>
        </is>
      </c>
      <c r="D4" s="3" t="inlineStr">
        <is>
          <t>1. Buy Now 2. Success</t>
        </is>
      </c>
      <c r="E4" s="3" t="inlineStr">
        <is>
          <t>Order and receipt use the discounted amount (INR 8)</t>
        </is>
      </c>
      <c r="F4" s="3" t="inlineStr">
        <is>
          <t>P0</t>
        </is>
      </c>
      <c r="G4" s="3" t="n"/>
      <c r="H4" s="3" t="inlineStr">
        <is>
          <t>CK-12/15</t>
        </is>
      </c>
      <c r="I4" s="3" t="inlineStr">
        <is>
          <t>CDP-E2E-001</t>
        </is>
      </c>
    </row>
    <row r="5">
      <c r="A5" s="3" t="inlineStr">
        <is>
          <t>CHK-PAY-004</t>
        </is>
      </c>
      <c r="B5" s="3" t="inlineStr">
        <is>
          <t>Verification request carries only the three Razorpay fields</t>
        </is>
      </c>
      <c r="C5" s="3" t="inlineStr">
        <is>
          <t>PAY-001; network log</t>
        </is>
      </c>
      <c r="D5" s="3" t="inlineStr">
        <is>
          <t>1. Inspect POST /api/verify-payment</t>
        </is>
      </c>
      <c r="E5" s="3" t="inlineStr">
        <is>
          <t>Body has razorpay_order_id, razorpay_payment_id, razorpay_signature only: no slug, user id or price</t>
        </is>
      </c>
      <c r="F5" s="3" t="inlineStr">
        <is>
          <t>P0</t>
        </is>
      </c>
      <c r="G5" s="3" t="n"/>
      <c r="H5" s="3" t="inlineStr">
        <is>
          <t>CK-17</t>
        </is>
      </c>
      <c r="I5" s="3" t="inlineStr">
        <is>
          <t>CDP-PAY-006</t>
        </is>
      </c>
    </row>
    <row r="6">
      <c r="A6" s="3" t="inlineStr">
        <is>
          <t>CHK-PAY-005</t>
        </is>
      </c>
      <c r="B6" s="3" t="inlineStr">
        <is>
          <t>Success modal only after the server confirms</t>
        </is>
      </c>
      <c r="C6" s="3" t="inlineStr">
        <is>
          <t>Verify delayed 2 s</t>
        </is>
      </c>
      <c r="D6" s="3" t="inlineStr">
        <is>
          <t>1. Trigger success 2. Look before the response</t>
        </is>
      </c>
      <c r="E6" s="3" t="inlineStr">
        <is>
          <t>No modal until verify-payment returns success: true</t>
        </is>
      </c>
      <c r="F6" s="3" t="inlineStr">
        <is>
          <t>P0</t>
        </is>
      </c>
      <c r="G6" s="3" t="n"/>
      <c r="H6" s="3" t="inlineStr">
        <is>
          <t>CK-15</t>
        </is>
      </c>
      <c r="I6" s="3" t="inlineStr">
        <is>
          <t>No</t>
        </is>
      </c>
    </row>
    <row r="7">
      <c r="A7" s="3" t="inlineStr">
        <is>
          <t>CHK-PAY-006</t>
        </is>
      </c>
      <c r="B7" s="3" t="inlineStr">
        <is>
          <t>One enrollment row is created</t>
        </is>
      </c>
      <c r="C7" s="3" t="inlineStr">
        <is>
          <t>PAY-001; QA database</t>
        </is>
      </c>
      <c r="D7" s="3" t="inlineStr">
        <is>
          <t>1. Read user_enrollments for B1 and C1</t>
        </is>
      </c>
      <c r="E7" s="3" t="inlineStr">
        <is>
          <t>Exactly one row with the right course slug</t>
        </is>
      </c>
      <c r="F7" s="3" t="inlineStr">
        <is>
          <t>P0</t>
        </is>
      </c>
      <c r="G7" s="3" t="n"/>
      <c r="H7" s="3" t="inlineStr">
        <is>
          <t>CK-15</t>
        </is>
      </c>
      <c r="I7" s="3" t="inlineStr">
        <is>
          <t>No</t>
        </is>
      </c>
    </row>
    <row r="8">
      <c r="A8" s="3" t="inlineStr">
        <is>
          <t>CHK-PAY-007</t>
        </is>
      </c>
      <c r="B8" s="3" t="inlineStr">
        <is>
          <t>Admin activity log entry</t>
        </is>
      </c>
      <c r="C8" s="3" t="inlineStr">
        <is>
          <t>PAY-001; A1</t>
        </is>
      </c>
      <c r="D8" s="3" t="inlineStr">
        <is>
          <t>1. Open the admin activity log</t>
        </is>
      </c>
      <c r="E8" s="3" t="inlineStr">
        <is>
          <t>An enrollment entry for B1 and C1 exists</t>
        </is>
      </c>
      <c r="F8" s="3" t="inlineStr">
        <is>
          <t>P1</t>
        </is>
      </c>
      <c r="G8" s="3" t="n"/>
      <c r="H8" s="3" t="inlineStr">
        <is>
          <t>CK-27</t>
        </is>
      </c>
      <c r="I8" s="3" t="inlineStr">
        <is>
          <t>No</t>
        </is>
      </c>
    </row>
    <row r="9">
      <c r="A9" s="3" t="inlineStr">
        <is>
          <t>CHK-PAY-008</t>
        </is>
      </c>
      <c r="B9" s="3" t="inlineStr">
        <is>
          <t>Verification 400 (invalid signature) is surfaced</t>
        </is>
      </c>
      <c r="C9" s="3" t="inlineStr">
        <is>
          <t>Verify forced to 400</t>
        </is>
      </c>
      <c r="D9" s="3" t="inlineStr">
        <is>
          <t>1. Trigger success</t>
        </is>
      </c>
      <c r="E9" s="3" t="inlineStr">
        <is>
          <t>Alert shows the message ('Invalid payment signature'); no modal; no enrollment</t>
        </is>
      </c>
      <c r="F9" s="3" t="inlineStr">
        <is>
          <t>P0</t>
        </is>
      </c>
      <c r="G9" s="3" t="n"/>
      <c r="H9" s="3" t="inlineStr">
        <is>
          <t>CK-22</t>
        </is>
      </c>
      <c r="I9" s="3" t="inlineStr">
        <is>
          <t>CDP-PAY-011 / CDP-ERR-006</t>
        </is>
      </c>
    </row>
    <row r="10">
      <c r="A10" s="3" t="inlineStr">
        <is>
          <t>CHK-PAY-009</t>
        </is>
      </c>
      <c r="B10" s="3" t="inlineStr">
        <is>
          <t>Verification 500 is surfaced</t>
        </is>
      </c>
      <c r="C10" s="3" t="inlineStr">
        <is>
          <t>Verify forced to 500</t>
        </is>
      </c>
      <c r="D10" s="3" t="inlineStr">
        <is>
          <t>1. Trigger success</t>
        </is>
      </c>
      <c r="E10" s="3" t="inlineStr">
        <is>
          <t>Alert 'Error verifying enrollment.' (or server text); no modal</t>
        </is>
      </c>
      <c r="F10" s="3" t="inlineStr">
        <is>
          <t>P0</t>
        </is>
      </c>
      <c r="G10" s="3" t="n"/>
      <c r="H10" s="3" t="inlineStr">
        <is>
          <t>CK-22</t>
        </is>
      </c>
      <c r="I10" s="3" t="inlineStr">
        <is>
          <t>No</t>
        </is>
      </c>
    </row>
    <row r="11">
      <c r="A11" s="3" t="inlineStr">
        <is>
          <t>CHK-PAY-010</t>
        </is>
      </c>
      <c r="B11" s="3" t="inlineStr">
        <is>
          <t>Verification network failure</t>
        </is>
      </c>
      <c r="C11" s="3" t="inlineStr">
        <is>
          <t>Verify aborted</t>
        </is>
      </c>
      <c r="D11" s="3" t="inlineStr">
        <is>
          <t>1. Trigger success</t>
        </is>
      </c>
      <c r="E11" s="3" t="inlineStr">
        <is>
          <t>Alert 'Error verifying enrollment.'; no modal; page usable</t>
        </is>
      </c>
      <c r="F11" s="3" t="inlineStr">
        <is>
          <t>P0</t>
        </is>
      </c>
      <c r="G11" s="3" t="n"/>
      <c r="H11" s="3" t="inlineStr">
        <is>
          <t>CK-22</t>
        </is>
      </c>
      <c r="I11" s="3" t="inlineStr">
        <is>
          <t>No</t>
        </is>
      </c>
    </row>
    <row r="12">
      <c r="A12" s="3" t="inlineStr">
        <is>
          <t>CHK-PAY-011</t>
        </is>
      </c>
      <c r="B12" s="3" t="inlineStr">
        <is>
          <t>Order of another account is refused</t>
        </is>
      </c>
      <c r="C12" s="3" t="inlineStr">
        <is>
          <t>Order created by B1, verified as B2</t>
        </is>
      </c>
      <c r="D12" s="3" t="inlineStr">
        <is>
          <t>1. Verify B1's order while signed in as B2</t>
        </is>
      </c>
      <c r="E12" s="3" t="inlineStr">
        <is>
          <t>403 'This order belongs to a different account.'; no enrollment</t>
        </is>
      </c>
      <c r="F12" s="3" t="inlineStr">
        <is>
          <t>P0</t>
        </is>
      </c>
      <c r="G12" s="3" t="n"/>
      <c r="H12" s="3" t="inlineStr">
        <is>
          <t>CK-23</t>
        </is>
      </c>
      <c r="I12" s="3" t="inlineStr">
        <is>
          <t>No</t>
        </is>
      </c>
    </row>
    <row r="13">
      <c r="A13" s="3" t="inlineStr">
        <is>
          <t>CHK-PAY-012</t>
        </is>
      </c>
      <c r="B13" s="3" t="inlineStr">
        <is>
          <t>Tampered signature grants nothing</t>
        </is>
      </c>
      <c r="C13" s="3" t="inlineStr">
        <is>
          <t>B1; real verify API</t>
        </is>
      </c>
      <c r="D13" s="3" t="inlineStr">
        <is>
          <t>1. POST verify-payment with a wrong signature</t>
        </is>
      </c>
      <c r="E13" s="3" t="inlineStr">
        <is>
          <t>400; no row in user_enrollments</t>
        </is>
      </c>
      <c r="F13" s="3" t="inlineStr">
        <is>
          <t>P0</t>
        </is>
      </c>
      <c r="G13" s="3" t="n"/>
      <c r="H13" s="3" t="inlineStr">
        <is>
          <t>CK-23</t>
        </is>
      </c>
      <c r="I13" s="3" t="inlineStr">
        <is>
          <t>CDP-ERR-006 (checkout-real-db.spec.ts)</t>
        </is>
      </c>
    </row>
    <row r="14">
      <c r="A14" s="3" t="inlineStr">
        <is>
          <t>CHK-PAY-013</t>
        </is>
      </c>
      <c r="B14" s="3" t="inlineStr">
        <is>
          <t>Order without course/user notes is refused</t>
        </is>
      </c>
      <c r="C14" s="3" t="inlineStr">
        <is>
          <t>Order created outside the app</t>
        </is>
      </c>
      <c r="D14" s="3" t="inlineStr">
        <is>
          <t>1. Verify it</t>
        </is>
      </c>
      <c r="E14" s="3" t="inlineStr">
        <is>
          <t>400 'Order is missing course details…'; no enrollment</t>
        </is>
      </c>
      <c r="F14" s="3" t="inlineStr">
        <is>
          <t>P1</t>
        </is>
      </c>
      <c r="G14" s="3" t="n"/>
      <c r="H14" s="3" t="inlineStr">
        <is>
          <t>CK-23</t>
        </is>
      </c>
      <c r="I14" s="3" t="inlineStr">
        <is>
          <t>No</t>
        </is>
      </c>
    </row>
    <row r="15">
      <c r="A15" s="3" t="inlineStr">
        <is>
          <t>CHK-PAY-014</t>
        </is>
      </c>
      <c r="B15" s="3" t="inlineStr">
        <is>
          <t>Unauthenticated verify call</t>
        </is>
      </c>
      <c r="C15" s="3" t="inlineStr">
        <is>
          <t>No session</t>
        </is>
      </c>
      <c r="D15" s="3" t="inlineStr">
        <is>
          <t>1. POST /api/verify-payment</t>
        </is>
      </c>
      <c r="E15" s="3" t="inlineStr">
        <is>
          <t>401</t>
        </is>
      </c>
      <c r="F15" s="3" t="inlineStr">
        <is>
          <t>P0</t>
        </is>
      </c>
      <c r="G15" s="3" t="n"/>
      <c r="H15" s="3" t="inlineStr">
        <is>
          <t>CK-23</t>
        </is>
      </c>
      <c r="I15" s="3" t="inlineStr">
        <is>
          <t>No</t>
        </is>
      </c>
    </row>
    <row r="16">
      <c r="F16" s="4" t="inlineStr">
        <is>
          <t>Coverage</t>
        </is>
      </c>
      <c r="G16" s="6">
        <f>IF(COUNTA(A2:A15)=0,0,(COUNTIF(G2:G15,"Passed")+COUNTIF(G2:G15,"Failed")+COUNTIF(G2:G15,"NA"))/COUNTA(A2:A15))</f>
        <v/>
      </c>
    </row>
  </sheetData>
  <conditionalFormatting sqref="G2:G1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5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CHK-FAIL-001</t>
        </is>
      </c>
      <c r="B2" s="3" t="inlineStr">
        <is>
          <t>Payment failed message</t>
        </is>
      </c>
      <c r="C2" s="3" t="inlineStr">
        <is>
          <t>B1 on C1; overlay open</t>
        </is>
      </c>
      <c r="D2" s="3" t="inlineStr">
        <is>
          <t>1. Trigger payment.failed</t>
        </is>
      </c>
      <c r="E2" s="3" t="inlineStr">
        <is>
          <t>Alert 'Payment failed or was cancelled. Please try again.'; no success modal</t>
        </is>
      </c>
      <c r="F2" s="3" t="inlineStr">
        <is>
          <t>P0</t>
        </is>
      </c>
      <c r="G2" s="3" t="n"/>
      <c r="H2" s="3" t="inlineStr">
        <is>
          <t>CK-20</t>
        </is>
      </c>
      <c r="I2" s="3" t="inlineStr">
        <is>
          <t>CDP-PAY-008 / CDP-ERR-005</t>
        </is>
      </c>
    </row>
    <row r="3">
      <c r="A3" s="3" t="inlineStr">
        <is>
          <t>CHK-FAIL-002</t>
        </is>
      </c>
      <c r="B3" s="3" t="inlineStr">
        <is>
          <t>Nothing is granted after a failure</t>
        </is>
      </c>
      <c r="C3" s="3" t="inlineStr">
        <is>
          <t>FAIL-001</t>
        </is>
      </c>
      <c r="D3" s="3" t="inlineStr">
        <is>
          <t>1. Check the enrolment and the page</t>
        </is>
      </c>
      <c r="E3" s="3" t="inlineStr">
        <is>
          <t>No row in user_enrollments; CTA is still Buy Now</t>
        </is>
      </c>
      <c r="F3" s="3" t="inlineStr">
        <is>
          <t>P0</t>
        </is>
      </c>
      <c r="G3" s="3" t="n"/>
      <c r="H3" s="3" t="inlineStr">
        <is>
          <t>CK-20</t>
        </is>
      </c>
      <c r="I3" s="3" t="inlineStr">
        <is>
          <t>No</t>
        </is>
      </c>
    </row>
    <row r="4">
      <c r="A4" s="3" t="inlineStr">
        <is>
          <t>CHK-FAIL-003</t>
        </is>
      </c>
      <c r="B4" s="3" t="inlineStr">
        <is>
          <t>Retry after a failure creates a new order</t>
        </is>
      </c>
      <c r="C4" s="3" t="inlineStr">
        <is>
          <t>FAIL-001</t>
        </is>
      </c>
      <c r="D4" s="3" t="inlineStr">
        <is>
          <t>1. Click Buy Now again</t>
        </is>
      </c>
      <c r="E4" s="3" t="inlineStr">
        <is>
          <t>A second order is created and the overlay opens again without a reload</t>
        </is>
      </c>
      <c r="F4" s="3" t="inlineStr">
        <is>
          <t>P0</t>
        </is>
      </c>
      <c r="G4" s="3" t="n"/>
      <c r="H4" s="3" t="inlineStr">
        <is>
          <t>CK-20</t>
        </is>
      </c>
      <c r="I4" s="3" t="inlineStr">
        <is>
          <t>CDP-E2E-008</t>
        </is>
      </c>
    </row>
    <row r="5">
      <c r="A5" s="3" t="inlineStr">
        <is>
          <t>CHK-FAIL-004</t>
        </is>
      </c>
      <c r="B5" s="3" t="inlineStr">
        <is>
          <t>Overlay dismissed without paying</t>
        </is>
      </c>
      <c r="C5" s="3" t="inlineStr">
        <is>
          <t>Overlay open</t>
        </is>
      </c>
      <c r="D5" s="3" t="inlineStr">
        <is>
          <t>1. Close the overlay</t>
        </is>
      </c>
      <c r="E5" s="3" t="inlineStr">
        <is>
          <t>Page stays usable; Buy Now is usable; no modal</t>
        </is>
      </c>
      <c r="F5" s="3" t="inlineStr">
        <is>
          <t>P1</t>
        </is>
      </c>
      <c r="G5" s="3" t="n"/>
      <c r="H5" s="3" t="inlineStr">
        <is>
          <t>CK-21</t>
        </is>
      </c>
      <c r="I5" s="3" t="inlineStr">
        <is>
          <t>CDP-PAY-009</t>
        </is>
      </c>
    </row>
    <row r="6">
      <c r="A6" s="3" t="inlineStr">
        <is>
          <t>CHK-FAIL-005</t>
        </is>
      </c>
      <c r="B6" s="3" t="inlineStr">
        <is>
          <t>Buy Now while the overlay is still open</t>
        </is>
      </c>
      <c r="C6" s="3" t="inlineStr">
        <is>
          <t>Overlay open</t>
        </is>
      </c>
      <c r="D6" s="3" t="inlineStr">
        <is>
          <t>1. Click Buy Now behind the overlay</t>
        </is>
      </c>
      <c r="E6" s="3" t="inlineStr">
        <is>
          <t>Observe: known gap R-CK-5 (button is enabled and a second order can be created)</t>
        </is>
      </c>
      <c r="F6" s="3" t="inlineStr">
        <is>
          <t>P1</t>
        </is>
      </c>
      <c r="G6" s="3" t="n"/>
      <c r="H6" s="3" t="inlineStr">
        <is>
          <t>CK-21</t>
        </is>
      </c>
      <c r="I6" s="3" t="inlineStr">
        <is>
          <t>No</t>
        </is>
      </c>
    </row>
    <row r="7">
      <c r="A7" s="3" t="inlineStr">
        <is>
          <t>CHK-FAIL-006</t>
        </is>
      </c>
      <c r="B7" s="3" t="inlineStr">
        <is>
          <t>Razorpay script blocked</t>
        </is>
      </c>
      <c r="C7" s="3" t="inlineStr">
        <is>
          <t>B1 on C1; request to checkout.js blocked</t>
        </is>
      </c>
      <c r="D7" s="3" t="inlineStr">
        <is>
          <t>1. Click Buy Now</t>
        </is>
      </c>
      <c r="E7" s="3" t="inlineStr">
        <is>
          <t>Alert 'Razorpay SDK failed to load. Are you online?'; button enabled; no order created</t>
        </is>
      </c>
      <c r="F7" s="3" t="inlineStr">
        <is>
          <t>P0</t>
        </is>
      </c>
      <c r="G7" s="3" t="n"/>
      <c r="H7" s="3" t="inlineStr">
        <is>
          <t>CK-24</t>
        </is>
      </c>
      <c r="I7" s="3" t="inlineStr">
        <is>
          <t>No</t>
        </is>
      </c>
    </row>
    <row r="8">
      <c r="A8" s="3" t="inlineStr">
        <is>
          <t>CHK-FAIL-007</t>
        </is>
      </c>
      <c r="B8" s="3" t="inlineStr">
        <is>
          <t>Script recovers after going online</t>
        </is>
      </c>
      <c r="C8" s="3" t="inlineStr">
        <is>
          <t>FAIL-006</t>
        </is>
      </c>
      <c r="D8" s="3" t="inlineStr">
        <is>
          <t>1. Unblock 2. Click Buy Now</t>
        </is>
      </c>
      <c r="E8" s="3" t="inlineStr">
        <is>
          <t>Order is created and the overlay opens</t>
        </is>
      </c>
      <c r="F8" s="3" t="inlineStr">
        <is>
          <t>P1</t>
        </is>
      </c>
      <c r="G8" s="3" t="n"/>
      <c r="H8" s="3" t="inlineStr">
        <is>
          <t>CK-24</t>
        </is>
      </c>
      <c r="I8" s="3" t="inlineStr">
        <is>
          <t>No</t>
        </is>
      </c>
    </row>
    <row r="9">
      <c r="A9" s="3" t="inlineStr">
        <is>
          <t>CHK-FAIL-008</t>
        </is>
      </c>
      <c r="B9" s="3" t="inlineStr">
        <is>
          <t>Refresh while Processing…</t>
        </is>
      </c>
      <c r="C9" s="3" t="inlineStr">
        <is>
          <t>Order slowed</t>
        </is>
      </c>
      <c r="D9" s="3" t="inlineStr">
        <is>
          <t>1. Click Buy Now 2. Refresh the page</t>
        </is>
      </c>
      <c r="E9" s="3" t="inlineStr">
        <is>
          <t>Page loads normally; no stuck state; no enrollment</t>
        </is>
      </c>
      <c r="F9" s="3" t="inlineStr">
        <is>
          <t>P1</t>
        </is>
      </c>
      <c r="G9" s="3" t="n"/>
      <c r="H9" s="3" t="inlineStr">
        <is>
          <t>CK-25</t>
        </is>
      </c>
      <c r="I9" s="3" t="inlineStr">
        <is>
          <t>No</t>
        </is>
      </c>
    </row>
    <row r="10">
      <c r="A10" s="3" t="inlineStr">
        <is>
          <t>CHK-FAIL-009</t>
        </is>
      </c>
      <c r="B10" s="3" t="inlineStr">
        <is>
          <t>Back navigation while the modal is open</t>
        </is>
      </c>
      <c r="C10" s="3" t="inlineStr">
        <is>
          <t>Success modal visible</t>
        </is>
      </c>
      <c r="D10" s="3" t="inlineStr">
        <is>
          <t>1. Press Back</t>
        </is>
      </c>
      <c r="E10" s="3" t="inlineStr">
        <is>
          <t>Page leaves cleanly; the enrollment stays; no duplicate on return</t>
        </is>
      </c>
      <c r="F10" s="3" t="inlineStr">
        <is>
          <t>P1</t>
        </is>
      </c>
      <c r="G10" s="3" t="n"/>
      <c r="H10" s="3" t="inlineStr">
        <is>
          <t>CK-27</t>
        </is>
      </c>
      <c r="I10" s="3" t="inlineStr">
        <is>
          <t>No</t>
        </is>
      </c>
    </row>
    <row r="11">
      <c r="A11" s="3" t="inlineStr">
        <is>
          <t>CHK-FAIL-010</t>
        </is>
      </c>
      <c r="B11" s="3" t="inlineStr">
        <is>
          <t>Paid at the gateway but verification never arrives</t>
        </is>
      </c>
      <c r="C11" s="3" t="inlineStr">
        <is>
          <t>Network drops after payment</t>
        </is>
      </c>
      <c r="D11" s="3" t="inlineStr">
        <is>
          <t>1. Pay 2. Cut the network before verify</t>
        </is>
      </c>
      <c r="E11" s="3" t="inlineStr">
        <is>
          <t>Buyer sees an error; known gap R-CK-3 (no webhook fallback): enrolment missing; report as accepted risk</t>
        </is>
      </c>
      <c r="F11" s="3" t="inlineStr">
        <is>
          <t>P0</t>
        </is>
      </c>
      <c r="G11" s="3" t="n"/>
      <c r="H11" s="3" t="inlineStr">
        <is>
          <t>CK-22</t>
        </is>
      </c>
      <c r="I11" s="3" t="inlineStr">
        <is>
          <t>No</t>
        </is>
      </c>
    </row>
    <row r="12">
      <c r="A12" s="3" t="inlineStr">
        <is>
          <t>CHK-FAIL-011</t>
        </is>
      </c>
      <c r="B12" s="3" t="inlineStr">
        <is>
          <t>Failure does not break coupon and currency state</t>
        </is>
      </c>
      <c r="C12" s="3" t="inlineStr">
        <is>
          <t>FAIL-001</t>
        </is>
      </c>
      <c r="D12" s="3" t="inlineStr">
        <is>
          <t>1. Check price, coupon and currency</t>
        </is>
      </c>
      <c r="E12" s="3" t="inlineStr">
        <is>
          <t>Previously chosen currency and coupon are unchanged</t>
        </is>
      </c>
      <c r="F12" s="3" t="inlineStr">
        <is>
          <t>P1</t>
        </is>
      </c>
      <c r="G12" s="3" t="n"/>
      <c r="H12" s="3" t="inlineStr">
        <is>
          <t>CK-20</t>
        </is>
      </c>
      <c r="I12" s="3" t="inlineStr">
        <is>
          <t>No</t>
        </is>
      </c>
    </row>
    <row r="13">
      <c r="F13" s="4" t="inlineStr">
        <is>
          <t>Coverage</t>
        </is>
      </c>
      <c r="G13" s="6">
        <f>IF(COUNTA(A2:A12)=0,0,(COUNTIF(G2:G12,"Passed")+COUNTIF(G2:G12,"Failed")+COUNTIF(G2:G12,"NA"))/COUNTA(A2:A12))</f>
        <v/>
      </c>
    </row>
  </sheetData>
  <conditionalFormatting sqref="G2:G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2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CHK-IDEM-001</t>
        </is>
      </c>
      <c r="B2" s="3" t="inlineStr">
        <is>
          <t>Double-click creates one order</t>
        </is>
      </c>
      <c r="C2" s="3" t="inlineStr">
        <is>
          <t>B1 on C1; order slowed</t>
        </is>
      </c>
      <c r="D2" s="3" t="inlineStr">
        <is>
          <t>1. Double-click Buy Now</t>
        </is>
      </c>
      <c r="E2" s="3" t="inlineStr">
        <is>
          <t>One create-order request; one overlay</t>
        </is>
      </c>
      <c r="F2" s="3" t="inlineStr">
        <is>
          <t>P0</t>
        </is>
      </c>
      <c r="G2" s="3" t="n"/>
      <c r="H2" s="3" t="inlineStr">
        <is>
          <t>CK-26</t>
        </is>
      </c>
      <c r="I2" s="3" t="inlineStr">
        <is>
          <t>CDP-CTA-009 / CDP-RACE-001</t>
        </is>
      </c>
    </row>
    <row r="3">
      <c r="A3" s="3" t="inlineStr">
        <is>
          <t>CHK-IDEM-002</t>
        </is>
      </c>
      <c r="B3" s="3" t="inlineStr">
        <is>
          <t>Rapid repeated clicks</t>
        </is>
      </c>
      <c r="C3" s="3" t="inlineStr">
        <is>
          <t>Same</t>
        </is>
      </c>
      <c r="D3" s="3" t="inlineStr">
        <is>
          <t>1. Click 4 times quickly</t>
        </is>
      </c>
      <c r="E3" s="3" t="inlineStr">
        <is>
          <t>Still one order</t>
        </is>
      </c>
      <c r="F3" s="3" t="inlineStr">
        <is>
          <t>P0</t>
        </is>
      </c>
      <c r="G3" s="3" t="n"/>
      <c r="H3" s="3" t="inlineStr">
        <is>
          <t>CK-26</t>
        </is>
      </c>
      <c r="I3" s="3" t="inlineStr">
        <is>
          <t>CDP-RACE-001</t>
        </is>
      </c>
    </row>
    <row r="4">
      <c r="A4" s="3" t="inlineStr">
        <is>
          <t>CHK-IDEM-003</t>
        </is>
      </c>
      <c r="B4" s="3" t="inlineStr">
        <is>
          <t>Repeat verification creates one enrollment</t>
        </is>
      </c>
      <c r="C4" s="3" t="inlineStr">
        <is>
          <t>PAY-001 done</t>
        </is>
      </c>
      <c r="D4" s="3" t="inlineStr">
        <is>
          <t>1. POST verify-payment again with the same ids</t>
        </is>
      </c>
      <c r="E4" s="3" t="inlineStr">
        <is>
          <t>Success answer; still one row for B1 and C1</t>
        </is>
      </c>
      <c r="F4" s="3" t="inlineStr">
        <is>
          <t>P0</t>
        </is>
      </c>
      <c r="G4" s="3" t="n"/>
      <c r="H4" s="3" t="inlineStr">
        <is>
          <t>CK-27</t>
        </is>
      </c>
      <c r="I4" s="3" t="inlineStr">
        <is>
          <t>No</t>
        </is>
      </c>
    </row>
    <row r="5">
      <c r="A5" s="3" t="inlineStr">
        <is>
          <t>CHK-IDEM-004</t>
        </is>
      </c>
      <c r="B5" s="3" t="inlineStr">
        <is>
          <t>Repeat verification sends one email</t>
        </is>
      </c>
      <c r="C5" s="3" t="inlineStr">
        <is>
          <t>IDEM-003</t>
        </is>
      </c>
      <c r="D5" s="3" t="inlineStr">
        <is>
          <t>1. Check the inbox (label [QA-AUTOMATION])</t>
        </is>
      </c>
      <c r="E5" s="3" t="inlineStr">
        <is>
          <t>Exactly one welcome/receipt email</t>
        </is>
      </c>
      <c r="F5" s="3" t="inlineStr">
        <is>
          <t>P1</t>
        </is>
      </c>
      <c r="G5" s="3" t="n"/>
      <c r="H5" s="3" t="inlineStr">
        <is>
          <t>CK-27</t>
        </is>
      </c>
      <c r="I5" s="3" t="inlineStr">
        <is>
          <t>No</t>
        </is>
      </c>
    </row>
    <row r="6">
      <c r="A6" s="3" t="inlineStr">
        <is>
          <t>CHK-IDEM-005</t>
        </is>
      </c>
      <c r="B6" s="3" t="inlineStr">
        <is>
          <t>Repeat verification adds no second activity log row</t>
        </is>
      </c>
      <c r="C6" s="3" t="inlineStr">
        <is>
          <t>IDEM-003</t>
        </is>
      </c>
      <c r="D6" s="3" t="inlineStr">
        <is>
          <t>1. Open the activity log</t>
        </is>
      </c>
      <c r="E6" s="3" t="inlineStr">
        <is>
          <t>One entry only</t>
        </is>
      </c>
      <c r="F6" s="3" t="inlineStr">
        <is>
          <t>P1</t>
        </is>
      </c>
      <c r="G6" s="3" t="n"/>
      <c r="H6" s="3" t="inlineStr">
        <is>
          <t>CK-27</t>
        </is>
      </c>
      <c r="I6" s="3" t="inlineStr">
        <is>
          <t>No</t>
        </is>
      </c>
    </row>
    <row r="7">
      <c r="A7" s="3" t="inlineStr">
        <is>
          <t>CHK-IDEM-006</t>
        </is>
      </c>
      <c r="B7" s="3" t="inlineStr">
        <is>
          <t>Enrolled buyer cannot start another purchase</t>
        </is>
      </c>
      <c r="C7" s="3" t="inlineStr">
        <is>
          <t>S1 granted C1</t>
        </is>
      </c>
      <c r="D7" s="3" t="inlineStr">
        <is>
          <t>1. Open C1</t>
        </is>
      </c>
      <c r="E7" s="3" t="inlineStr">
        <is>
          <t>No Buy Now; Go to Dashboard shown</t>
        </is>
      </c>
      <c r="F7" s="3" t="inlineStr">
        <is>
          <t>P0</t>
        </is>
      </c>
      <c r="G7" s="3" t="n"/>
      <c r="H7" s="3" t="inlineStr">
        <is>
          <t>CK-28</t>
        </is>
      </c>
      <c r="I7" s="3" t="inlineStr">
        <is>
          <t>CDP-ENR-004</t>
        </is>
      </c>
    </row>
    <row r="8">
      <c r="A8" s="3" t="inlineStr">
        <is>
          <t>CHK-IDEM-007</t>
        </is>
      </c>
      <c r="B8" s="3" t="inlineStr">
        <is>
          <t>Two tabs, second purchase attempt</t>
        </is>
      </c>
      <c r="C8" s="3" t="inlineStr">
        <is>
          <t>B1 enrolled in tab 1; stale tab 2 shows Buy Now</t>
        </is>
      </c>
      <c r="D8" s="3" t="inlineStr">
        <is>
          <t>1. Click Buy Now in tab 2</t>
        </is>
      </c>
      <c r="E8" s="3" t="inlineStr">
        <is>
          <t>Server or UI handles it: no second enrollment row (report order created for an enrolled user as a finding)</t>
        </is>
      </c>
      <c r="F8" s="3" t="inlineStr">
        <is>
          <t>P1</t>
        </is>
      </c>
      <c r="G8" s="3" t="n"/>
      <c r="H8" s="3" t="inlineStr">
        <is>
          <t>CK-27</t>
        </is>
      </c>
      <c r="I8" s="3" t="inlineStr">
        <is>
          <t>No</t>
        </is>
      </c>
    </row>
    <row r="9">
      <c r="A9" s="3" t="inlineStr">
        <is>
          <t>CHK-IDEM-008</t>
        </is>
      </c>
      <c r="B9" s="3" t="inlineStr">
        <is>
          <t>Concurrent verification of the same payment</t>
        </is>
      </c>
      <c r="C9" s="3" t="inlineStr">
        <is>
          <t>Two verify calls in parallel</t>
        </is>
      </c>
      <c r="D9" s="3" t="inlineStr">
        <is>
          <t>1. Send both</t>
        </is>
      </c>
      <c r="E9" s="3" t="inlineStr">
        <is>
          <t>One enrollment row (known race R-FE-1 in PRD 05 applies)</t>
        </is>
      </c>
      <c r="F9" s="3" t="inlineStr">
        <is>
          <t>P0</t>
        </is>
      </c>
      <c r="G9" s="3" t="n"/>
      <c r="H9" s="3" t="inlineStr">
        <is>
          <t>CK-27</t>
        </is>
      </c>
      <c r="I9" s="3" t="inlineStr">
        <is>
          <t>CDP-RACE-003 (free path)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CHK-POST-001</t>
        </is>
      </c>
      <c r="B2" s="3" t="inlineStr">
        <is>
          <t>Success modal content</t>
        </is>
      </c>
      <c r="C2" s="3" t="inlineStr">
        <is>
          <t>PAY-001</t>
        </is>
      </c>
      <c r="D2" s="3" t="inlineStr">
        <is>
          <t>1. Read the modal</t>
        </is>
      </c>
      <c r="E2" s="3" t="inlineStr">
        <is>
          <t>Heading Welcome Aboard!, text about the WhatsApp group, buttons Join WhatsApp Group and Go to Dashboard</t>
        </is>
      </c>
      <c r="F2" s="3" t="inlineStr">
        <is>
          <t>P0</t>
        </is>
      </c>
      <c r="G2" s="3" t="n"/>
      <c r="H2" s="3" t="inlineStr">
        <is>
          <t>CK-18</t>
        </is>
      </c>
      <c r="I2" s="3" t="inlineStr">
        <is>
          <t>CDP-PAY-006</t>
        </is>
      </c>
    </row>
    <row r="3">
      <c r="A3" s="3" t="inlineStr">
        <is>
          <t>CHK-POST-002</t>
        </is>
      </c>
      <c r="B3" s="3" t="inlineStr">
        <is>
          <t>WhatsApp link attributes</t>
        </is>
      </c>
      <c r="C3" s="3" t="inlineStr">
        <is>
          <t>POST-001</t>
        </is>
      </c>
      <c r="D3" s="3" t="inlineStr">
        <is>
          <t>1. Inspect Join WhatsApp Group</t>
        </is>
      </c>
      <c r="E3" s="3" t="inlineStr">
        <is>
          <t>href is the course WhatsApp link; target _blank; rel noreferrer</t>
        </is>
      </c>
      <c r="F3" s="3" t="inlineStr">
        <is>
          <t>P1</t>
        </is>
      </c>
      <c r="G3" s="3" t="n"/>
      <c r="H3" s="3" t="inlineStr">
        <is>
          <t>CK-18</t>
        </is>
      </c>
      <c r="I3" s="3" t="inlineStr">
        <is>
          <t>No</t>
        </is>
      </c>
    </row>
    <row r="4">
      <c r="A4" s="3" t="inlineStr">
        <is>
          <t>CHK-POST-003</t>
        </is>
      </c>
      <c r="B4" s="3" t="inlineStr">
        <is>
          <t>WhatsApp link opens in a new tab</t>
        </is>
      </c>
      <c r="C4" s="3" t="inlineStr">
        <is>
          <t>POST-001</t>
        </is>
      </c>
      <c r="D4" s="3" t="inlineStr">
        <is>
          <t>1. Click Join WhatsApp Group</t>
        </is>
      </c>
      <c r="E4" s="3" t="inlineStr">
        <is>
          <t>New tab opens; the original page remains on the modal</t>
        </is>
      </c>
      <c r="F4" s="3" t="inlineStr">
        <is>
          <t>P1</t>
        </is>
      </c>
      <c r="G4" s="3" t="n"/>
      <c r="H4" s="3" t="inlineStr">
        <is>
          <t>CK-18</t>
        </is>
      </c>
      <c r="I4" s="3" t="inlineStr">
        <is>
          <t>No</t>
        </is>
      </c>
    </row>
    <row r="5">
      <c r="A5" s="3" t="inlineStr">
        <is>
          <t>CHK-POST-004</t>
        </is>
      </c>
      <c r="B5" s="3" t="inlineStr">
        <is>
          <t>Go to Dashboard routes into the learning area</t>
        </is>
      </c>
      <c r="C5" s="3" t="inlineStr">
        <is>
          <t>POST-001</t>
        </is>
      </c>
      <c r="D5" s="3" t="inlineStr">
        <is>
          <t>1. Click Go to Dashboard</t>
        </is>
      </c>
      <c r="E5" s="3" t="inlineStr">
        <is>
          <t>Lands on /learning (the dashboard); this is the intended destination (owner decision 2026-10-29)</t>
        </is>
      </c>
      <c r="F5" s="3" t="inlineStr">
        <is>
          <t>P0</t>
        </is>
      </c>
      <c r="G5" s="3" t="n"/>
      <c r="H5" s="3" t="inlineStr">
        <is>
          <t>CK-19</t>
        </is>
      </c>
      <c r="I5" s="3" t="inlineStr">
        <is>
          <t>CDP-PAY-007 / CDP-RED-001</t>
        </is>
      </c>
    </row>
    <row r="6">
      <c r="A6" s="3" t="inlineStr">
        <is>
          <t>CHK-POST-005</t>
        </is>
      </c>
      <c r="B6" s="3" t="inlineStr">
        <is>
          <t>Dashboard lists the new course</t>
        </is>
      </c>
      <c r="C6" s="3" t="inlineStr">
        <is>
          <t>POST-004</t>
        </is>
      </c>
      <c r="D6" s="3" t="inlineStr">
        <is>
          <t>1. Look at My Enrolled Courses</t>
        </is>
      </c>
      <c r="E6" s="3" t="inlineStr">
        <is>
          <t>The purchased course is listed</t>
        </is>
      </c>
      <c r="F6" s="3" t="inlineStr">
        <is>
          <t>P0</t>
        </is>
      </c>
      <c r="G6" s="3" t="n"/>
      <c r="H6" s="3" t="inlineStr">
        <is>
          <t>CK-15</t>
        </is>
      </c>
      <c r="I6" s="3" t="inlineStr">
        <is>
          <t>No</t>
        </is>
      </c>
    </row>
    <row r="7">
      <c r="A7" s="3" t="inlineStr">
        <is>
          <t>CHK-POST-006</t>
        </is>
      </c>
      <c r="B7" s="3" t="inlineStr">
        <is>
          <t>Course page after purchase shows enrolled</t>
        </is>
      </c>
      <c r="C7" s="3" t="inlineStr">
        <is>
          <t>POST-001</t>
        </is>
      </c>
      <c r="D7" s="3" t="inlineStr">
        <is>
          <t>1. Open /courses/qa-checkout-sandbox</t>
        </is>
      </c>
      <c r="E7" s="3" t="inlineStr">
        <is>
          <t>'You are Enrolled! Go to Dashboard'; no Buy Now; no coupon box</t>
        </is>
      </c>
      <c r="F7" s="3" t="inlineStr">
        <is>
          <t>P0</t>
        </is>
      </c>
      <c r="G7" s="3" t="n"/>
      <c r="H7" s="3" t="inlineStr">
        <is>
          <t>CK-28</t>
        </is>
      </c>
      <c r="I7" s="3" t="inlineStr">
        <is>
          <t>CDP-FREE-011 / CDP-CTA-004</t>
        </is>
      </c>
    </row>
    <row r="8">
      <c r="A8" s="3" t="inlineStr">
        <is>
          <t>CHK-POST-007</t>
        </is>
      </c>
      <c r="B8" s="3" t="inlineStr">
        <is>
          <t>State survives reload</t>
        </is>
      </c>
      <c r="C8" s="3" t="inlineStr">
        <is>
          <t>POST-006</t>
        </is>
      </c>
      <c r="D8" s="3" t="inlineStr">
        <is>
          <t>1. Reload</t>
        </is>
      </c>
      <c r="E8" s="3" t="inlineStr">
        <is>
          <t>Same enrolled state</t>
        </is>
      </c>
      <c r="F8" s="3" t="inlineStr">
        <is>
          <t>P1</t>
        </is>
      </c>
      <c r="G8" s="3" t="n"/>
      <c r="H8" s="3" t="inlineStr">
        <is>
          <t>CK-28</t>
        </is>
      </c>
      <c r="I8" s="3" t="inlineStr">
        <is>
          <t>CDP-ENR-005</t>
        </is>
      </c>
    </row>
    <row r="9">
      <c r="A9" s="3" t="inlineStr">
        <is>
          <t>CHK-POST-008</t>
        </is>
      </c>
      <c r="B9" s="3" t="inlineStr">
        <is>
          <t>Course page opens for the buyer</t>
        </is>
      </c>
      <c r="C9" s="3" t="inlineStr">
        <is>
          <t>POST-004</t>
        </is>
      </c>
      <c r="D9" s="3" t="inlineStr">
        <is>
          <t>1. Open /learning/qa-checkout-sandbox</t>
        </is>
      </c>
      <c r="E9" s="3" t="inlineStr">
        <is>
          <t>Course content loads (no redirect away)</t>
        </is>
      </c>
      <c r="F9" s="3" t="inlineStr">
        <is>
          <t>P0</t>
        </is>
      </c>
      <c r="G9" s="3" t="n"/>
      <c r="H9" s="3" t="inlineStr">
        <is>
          <t>CK-28</t>
        </is>
      </c>
      <c r="I9" s="3" t="inlineStr">
        <is>
          <t>tests/ui/auth/access-control.spec.ts</t>
        </is>
      </c>
    </row>
    <row r="10">
      <c r="A10" s="3" t="inlineStr">
        <is>
          <t>CHK-POST-009</t>
        </is>
      </c>
      <c r="B10" s="3" t="inlineStr">
        <is>
          <t>Modal copy says the payment is verified (paid)</t>
        </is>
      </c>
      <c r="C10" s="3" t="inlineStr">
        <is>
          <t>POST-001</t>
        </is>
      </c>
      <c r="D10" s="3" t="inlineStr">
        <is>
          <t>1. Read the text</t>
        </is>
      </c>
      <c r="E10" s="3" t="inlineStr">
        <is>
          <t>'Your payment is verified…' is accurate for a paid purchase (inaccurate for free: PRD 05 R-FE-2)</t>
        </is>
      </c>
      <c r="F10" s="3" t="inlineStr">
        <is>
          <t>P1</t>
        </is>
      </c>
      <c r="G10" s="3" t="n"/>
      <c r="H10" s="3" t="inlineStr">
        <is>
          <t>CK-18</t>
        </is>
      </c>
      <c r="I10" s="3" t="inlineStr">
        <is>
          <t>No</t>
        </is>
      </c>
    </row>
    <row r="11">
      <c r="A11" s="3" t="inlineStr">
        <is>
          <t>CHK-POST-010</t>
        </is>
      </c>
      <c r="B11" s="3" t="inlineStr">
        <is>
          <t>One receipt email with order id and amount</t>
        </is>
      </c>
      <c r="C11" s="3" t="inlineStr">
        <is>
          <t>PAY-001; inbox label</t>
        </is>
      </c>
      <c r="D11" s="3" t="inlineStr">
        <is>
          <t>1. Open the email</t>
        </is>
      </c>
      <c r="E11" s="3" t="inlineStr">
        <is>
          <t>Subject has the QA prefix; shows order id, amount and PAID; sent once</t>
        </is>
      </c>
      <c r="F11" s="3" t="inlineStr">
        <is>
          <t>P1</t>
        </is>
      </c>
      <c r="G11" s="3" t="n"/>
      <c r="H11" s="3" t="inlineStr">
        <is>
          <t>CK-27</t>
        </is>
      </c>
      <c r="I11" s="3" t="inlineStr">
        <is>
          <t>No</t>
        </is>
      </c>
    </row>
    <row r="12">
      <c r="A12" s="3" t="inlineStr">
        <is>
          <t>CHK-POST-011</t>
        </is>
      </c>
      <c r="B12" s="3" t="inlineStr">
        <is>
          <t>Modal buttons have discernible names</t>
        </is>
      </c>
      <c r="C12" s="3" t="inlineStr">
        <is>
          <t>POST-001</t>
        </is>
      </c>
      <c r="D12" s="3" t="inlineStr">
        <is>
          <t>1. Inspect the accessibility tree</t>
        </is>
      </c>
      <c r="E12" s="3" t="inlineStr">
        <is>
          <t>Both buttons expose readable names</t>
        </is>
      </c>
      <c r="F12" s="3" t="inlineStr">
        <is>
          <t>P1</t>
        </is>
      </c>
      <c r="G12" s="3" t="n"/>
      <c r="H12" s="3" t="inlineStr">
        <is>
          <t>CK-36</t>
        </is>
      </c>
      <c r="I12" s="3" t="inlineStr">
        <is>
          <t>No</t>
        </is>
      </c>
    </row>
    <row r="13">
      <c r="F13" s="4" t="inlineStr">
        <is>
          <t>Coverage</t>
        </is>
      </c>
      <c r="G13" s="6">
        <f>IF(COUNTA(A2:A12)=0,0,(COUNTIF(G2:G12,"Passed")+COUNTIF(G2:G12,"Failed")+COUNTIF(G2:G12,"NA"))/COUNTA(A2:A12))</f>
        <v/>
      </c>
    </row>
  </sheetData>
  <conditionalFormatting sqref="G2:G1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2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CHK-XB-001</t>
        </is>
      </c>
      <c r="B2" s="3" t="inlineStr">
        <is>
          <t>Checkout panel on a 390 px phone</t>
        </is>
      </c>
      <c r="C2" s="3" t="inlineStr">
        <is>
          <t>B2 signed in; mobile viewport</t>
        </is>
      </c>
      <c r="D2" s="3" t="inlineStr">
        <is>
          <t>1. Open C1</t>
        </is>
      </c>
      <c r="E2" s="3" t="inlineStr">
        <is>
          <t>Currency toggle, coupon box and Buy Now fully visible; no horizontal scroll</t>
        </is>
      </c>
      <c r="F2" s="3" t="inlineStr">
        <is>
          <t>P1</t>
        </is>
      </c>
      <c r="G2" s="3" t="n"/>
      <c r="H2" s="3" t="inlineStr">
        <is>
          <t>CK-32</t>
        </is>
      </c>
      <c r="I2" s="3" t="inlineStr">
        <is>
          <t>CDP-UX-004/005/006</t>
        </is>
      </c>
    </row>
    <row r="3">
      <c r="A3" s="3" t="inlineStr">
        <is>
          <t>CHK-XB-002</t>
        </is>
      </c>
      <c r="B3" s="3" t="inlineStr">
        <is>
          <t>Mobile paid journey</t>
        </is>
      </c>
      <c r="C3" s="3" t="inlineStr">
        <is>
          <t>B2 on a phone</t>
        </is>
      </c>
      <c r="D3" s="3" t="inlineStr">
        <is>
          <t>1. Apply K1 2. Tap Buy Now 3. Succeed</t>
        </is>
      </c>
      <c r="E3" s="3" t="inlineStr">
        <is>
          <t>Overlay opens, success modal fits the screen, buttons are tappable</t>
        </is>
      </c>
      <c r="F3" s="3" t="inlineStr">
        <is>
          <t>P1</t>
        </is>
      </c>
      <c r="G3" s="3" t="n"/>
      <c r="H3" s="3" t="inlineStr">
        <is>
          <t>CK-32</t>
        </is>
      </c>
      <c r="I3" s="3" t="inlineStr">
        <is>
          <t>CDP-E2E-010</t>
        </is>
      </c>
    </row>
    <row r="4">
      <c r="A4" s="3" t="inlineStr">
        <is>
          <t>CHK-XB-003</t>
        </is>
      </c>
      <c r="B4" s="3" t="inlineStr">
        <is>
          <t>Success modal on a phone</t>
        </is>
      </c>
      <c r="C4" s="3" t="inlineStr">
        <is>
          <t>XB-002</t>
        </is>
      </c>
      <c r="D4" s="3" t="inlineStr">
        <is>
          <t>1. Look at the modal</t>
        </is>
      </c>
      <c r="E4" s="3" t="inlineStr">
        <is>
          <t>No clipped text; both buttons reachable without scrolling</t>
        </is>
      </c>
      <c r="F4" s="3" t="inlineStr">
        <is>
          <t>P1</t>
        </is>
      </c>
      <c r="G4" s="3" t="n"/>
      <c r="H4" s="3" t="inlineStr">
        <is>
          <t>CK-32</t>
        </is>
      </c>
      <c r="I4" s="3" t="inlineStr">
        <is>
          <t>No</t>
        </is>
      </c>
    </row>
    <row r="5">
      <c r="A5" s="3" t="inlineStr">
        <is>
          <t>CHK-XB-004</t>
        </is>
      </c>
      <c r="B5" s="3" t="inlineStr">
        <is>
          <t>Firefox: paid happy path</t>
        </is>
      </c>
      <c r="C5" s="3" t="inlineStr">
        <is>
          <t>Firefox project</t>
        </is>
      </c>
      <c r="D5" s="3" t="inlineStr">
        <is>
          <t>1. Run PAY-001</t>
        </is>
      </c>
      <c r="E5" s="3" t="inlineStr">
        <is>
          <t>Same result as Chromium</t>
        </is>
      </c>
      <c r="F5" s="3" t="inlineStr">
        <is>
          <t>P1</t>
        </is>
      </c>
      <c r="G5" s="3" t="n"/>
      <c r="H5" s="3" t="inlineStr">
        <is>
          <t>CK-33</t>
        </is>
      </c>
      <c r="I5" s="3" t="inlineStr">
        <is>
          <t>No</t>
        </is>
      </c>
    </row>
    <row r="6">
      <c r="A6" s="3" t="inlineStr">
        <is>
          <t>CHK-XB-005</t>
        </is>
      </c>
      <c r="B6" s="3" t="inlineStr">
        <is>
          <t>WebKit (Safari engine): paid happy path</t>
        </is>
      </c>
      <c r="C6" s="3" t="inlineStr">
        <is>
          <t>WebKit project</t>
        </is>
      </c>
      <c r="D6" s="3" t="inlineStr">
        <is>
          <t>1. Run PAY-001</t>
        </is>
      </c>
      <c r="E6" s="3" t="inlineStr">
        <is>
          <t>Same result as Chromium</t>
        </is>
      </c>
      <c r="F6" s="3" t="inlineStr">
        <is>
          <t>P1</t>
        </is>
      </c>
      <c r="G6" s="3" t="n"/>
      <c r="H6" s="3" t="inlineStr">
        <is>
          <t>CK-33</t>
        </is>
      </c>
      <c r="I6" s="3" t="inlineStr">
        <is>
          <t>No</t>
        </is>
      </c>
    </row>
    <row r="7">
      <c r="A7" s="3" t="inlineStr">
        <is>
          <t>CHK-XB-006</t>
        </is>
      </c>
      <c r="B7" s="3" t="inlineStr">
        <is>
          <t>Keyboard: reach and use Buy Now</t>
        </is>
      </c>
      <c r="C7" s="3" t="inlineStr">
        <is>
          <t>B1 on C1</t>
        </is>
      </c>
      <c r="D7" s="3" t="inlineStr">
        <is>
          <t>1. Tab through the page 2. Enter on Buy Now</t>
        </is>
      </c>
      <c r="E7" s="3" t="inlineStr">
        <is>
          <t>Visible focus; order created</t>
        </is>
      </c>
      <c r="F7" s="3" t="inlineStr">
        <is>
          <t>P1</t>
        </is>
      </c>
      <c r="G7" s="3" t="n"/>
      <c r="H7" s="3" t="inlineStr">
        <is>
          <t>CK-36</t>
        </is>
      </c>
      <c r="I7" s="3" t="inlineStr">
        <is>
          <t>CDP-CTA-012</t>
        </is>
      </c>
    </row>
    <row r="8">
      <c r="A8" s="3" t="inlineStr">
        <is>
          <t>CHK-XB-007</t>
        </is>
      </c>
      <c r="B8" s="3" t="inlineStr">
        <is>
          <t>Keyboard: success modal</t>
        </is>
      </c>
      <c r="C8" s="3" t="inlineStr">
        <is>
          <t>Modal visible</t>
        </is>
      </c>
      <c r="D8" s="3" t="inlineStr">
        <is>
          <t>1. Tab between the two buttons 2. Enter</t>
        </is>
      </c>
      <c r="E8" s="3" t="inlineStr">
        <is>
          <t>Both work; focus stays inside the modal (note if it escapes)</t>
        </is>
      </c>
      <c r="F8" s="3" t="inlineStr">
        <is>
          <t>P1</t>
        </is>
      </c>
      <c r="G8" s="3" t="n"/>
      <c r="H8" s="3" t="inlineStr">
        <is>
          <t>CK-36</t>
        </is>
      </c>
      <c r="I8" s="3" t="inlineStr">
        <is>
          <t>No</t>
        </is>
      </c>
    </row>
    <row r="9">
      <c r="A9" s="3" t="inlineStr">
        <is>
          <t>CHK-XB-008</t>
        </is>
      </c>
      <c r="B9" s="3" t="inlineStr">
        <is>
          <t>Blocking alert() dialogs</t>
        </is>
      </c>
      <c r="C9" s="3" t="inlineStr">
        <is>
          <t>Any error path</t>
        </is>
      </c>
      <c r="D9" s="3" t="inlineStr">
        <is>
          <t>1. Trigger an error</t>
        </is>
      </c>
      <c r="E9" s="3" t="inlineStr">
        <is>
          <t>Message is readable; page resumes after OK (known limitation R-CK-6)</t>
        </is>
      </c>
      <c r="F9" s="3" t="inlineStr">
        <is>
          <t>P1</t>
        </is>
      </c>
      <c r="G9" s="3" t="n"/>
      <c r="H9" s="3" t="inlineStr">
        <is>
          <t>CK-36</t>
        </is>
      </c>
      <c r="I9" s="3" t="inlineStr">
        <is>
          <t>No</t>
        </is>
      </c>
    </row>
    <row r="10">
      <c r="F10" s="4" t="inlineStr">
        <is>
          <t>Coverage</t>
        </is>
      </c>
      <c r="G10" s="6">
        <f>IF(COUNTA(A2:A9)=0,0,(COUNTIF(G2:G9,"Passed")+COUNTIF(G2:G9,"Failed")+COUNTIF(G2:G9,"NA"))/COUNTA(A2:A9))</f>
        <v/>
      </c>
    </row>
  </sheetData>
  <conditionalFormatting sqref="G2:G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9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CHK-REAL-001</t>
        </is>
      </c>
      <c r="B2" s="3" t="inlineStr">
        <is>
          <t>Real test-mode overlay opens</t>
        </is>
      </c>
      <c r="C2" s="3" t="inlineStr">
        <is>
          <t>rzp_test_ keys only; B1 on C1</t>
        </is>
      </c>
      <c r="D2" s="3" t="inlineStr">
        <is>
          <t>1. Click Buy Now</t>
        </is>
      </c>
      <c r="E2" s="3" t="inlineStr">
        <is>
          <t>The real Razorpay overlay opens with INR 10 and the right prefill</t>
        </is>
      </c>
      <c r="F2" s="3" t="inlineStr">
        <is>
          <t>P1</t>
        </is>
      </c>
      <c r="G2" s="3" t="n"/>
      <c r="H2" s="3" t="inlineStr">
        <is>
          <t>CK-34</t>
        </is>
      </c>
      <c r="I2" s="3" t="inlineStr">
        <is>
          <t>tests/ui/discovery/checkout-real-gateway.spec.ts (opt-in E2E_REAL_GATEWAY=1)</t>
        </is>
      </c>
    </row>
    <row r="3">
      <c r="A3" s="3" t="inlineStr">
        <is>
          <t>CHK-REAL-002</t>
        </is>
      </c>
      <c r="B3" s="3" t="inlineStr">
        <is>
          <t>Successful test card</t>
        </is>
      </c>
      <c r="C3" s="3" t="inlineStr">
        <is>
          <t>REAL-001</t>
        </is>
      </c>
      <c r="D3" s="3" t="inlineStr">
        <is>
          <t>1. Pay with the Razorpay test card</t>
        </is>
      </c>
      <c r="E3" s="3" t="inlineStr">
        <is>
          <t>Success handler runs; verify-payment succeeds; Welcome Aboard! modal; enrolment created</t>
        </is>
      </c>
      <c r="F3" s="3" t="inlineStr">
        <is>
          <t>P1</t>
        </is>
      </c>
      <c r="G3" s="3" t="n"/>
      <c r="H3" s="3" t="inlineStr">
        <is>
          <t>CK-34</t>
        </is>
      </c>
      <c r="I3" s="3" t="inlineStr">
        <is>
          <t>tests/ui/discovery/checkout-real-gateway.spec.ts (opt-in E2E_REAL_GATEWAY=1)</t>
        </is>
      </c>
    </row>
    <row r="4">
      <c r="A4" s="3" t="inlineStr">
        <is>
          <t>CHK-REAL-003</t>
        </is>
      </c>
      <c r="B4" s="3" t="inlineStr">
        <is>
          <t>Failure test card</t>
        </is>
      </c>
      <c r="C4" s="3" t="inlineStr">
        <is>
          <t>REAL-001</t>
        </is>
      </c>
      <c r="D4" s="3" t="inlineStr">
        <is>
          <t>1. Pay with the failure test card</t>
        </is>
      </c>
      <c r="E4" s="3" t="inlineStr">
        <is>
          <t>'Payment failed or was cancelled…' alert; nothing granted; retry possible</t>
        </is>
      </c>
      <c r="F4" s="3" t="inlineStr">
        <is>
          <t>P1</t>
        </is>
      </c>
      <c r="G4" s="3" t="n"/>
      <c r="H4" s="3" t="inlineStr">
        <is>
          <t>CK-35</t>
        </is>
      </c>
      <c r="I4" s="3" t="inlineStr">
        <is>
          <t>tests/ui/discovery/checkout-real-gateway.spec.ts (opt-in E2E_REAL_GATEWAY=1)</t>
        </is>
      </c>
    </row>
    <row r="5">
      <c r="A5" s="3" t="inlineStr">
        <is>
          <t>CHK-REAL-004</t>
        </is>
      </c>
      <c r="B5" s="3" t="inlineStr">
        <is>
          <t>Live key guard</t>
        </is>
      </c>
      <c r="C5" s="3" t="inlineStr">
        <is>
          <t>Environment</t>
        </is>
      </c>
      <c r="D5" s="3" t="inlineStr">
        <is>
          <t>1. Check RAZORPAY_KEY_ID and NEXT_PUBLIC_RAZORPAY_KEY_ID</t>
        </is>
      </c>
      <c r="E5" s="3" t="inlineStr">
        <is>
          <t>Both start with rzp_test_; a live key makes the suite fail before any test runs</t>
        </is>
      </c>
      <c r="F5" s="3" t="inlineStr">
        <is>
          <t>P0</t>
        </is>
      </c>
      <c r="G5" s="3" t="n"/>
      <c r="H5" s="3" t="inlineStr">
        <is>
          <t>CK-34</t>
        </is>
      </c>
      <c r="I5" s="3" t="inlineStr">
        <is>
          <t>tests/ui/discovery/checkout-real-gateway.spec.ts (opt-in E2E_REAL_GATEWAY=1)</t>
        </is>
      </c>
    </row>
    <row r="6">
      <c r="A6" s="3" t="inlineStr">
        <is>
          <t>CHK-REAL-005</t>
        </is>
      </c>
      <c r="B6" s="3" t="inlineStr">
        <is>
          <t>Stub still matches the real overlay</t>
        </is>
      </c>
      <c r="C6" s="3" t="inlineStr">
        <is>
          <t>REAL-001/002</t>
        </is>
      </c>
      <c r="D6" s="3" t="inlineStr">
        <is>
          <t>1. Compare options and handler arguments with the mocked stub</t>
        </is>
      </c>
      <c r="E6" s="3" t="inlineStr">
        <is>
          <t>Same fields and shapes; update the stub if they differ</t>
        </is>
      </c>
      <c r="F6" s="3" t="inlineStr">
        <is>
          <t>P1</t>
        </is>
      </c>
      <c r="G6" s="3" t="n"/>
      <c r="H6" s="3" t="inlineStr">
        <is>
          <t>CK-34</t>
        </is>
      </c>
      <c r="I6" s="3" t="inlineStr">
        <is>
          <t>Partly: the real test proves the same flow (checkout-real-gateway.spec.ts); the shape comparison is manual</t>
        </is>
      </c>
    </row>
    <row r="7">
      <c r="F7" s="4" t="inlineStr">
        <is>
          <t>Coverage</t>
        </is>
      </c>
      <c r="G7" s="6">
        <f>IF(COUNTA(A2:A6)=0,0,(COUNTIF(G2:G6,"Passed")+COUNTIF(G2:G6,"Failed")+COUNTIF(G2:G6,"NA"))/COUNTA(A2:A6))</f>
        <v/>
      </c>
    </row>
  </sheetData>
  <conditionalFormatting sqref="G2:G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CHK-E2E-001</t>
        </is>
      </c>
      <c r="B2" s="3" t="inlineStr">
        <is>
          <t>Visitor to enrolled learner (INR)</t>
        </is>
      </c>
      <c r="C2" s="3" t="inlineStr">
        <is>
          <t>V1 starts on /</t>
        </is>
      </c>
      <c r="D2" s="3" t="inlineStr">
        <is>
          <t>1. Open Courses 2. Open C1 3. Click Buy Now 4. Sign in as B1 5. Pay 6. Go to Dashboard</t>
        </is>
      </c>
      <c r="E2" s="3" t="inlineStr">
        <is>
          <t>Course is listed under My Enrolled Courses; one row; one email</t>
        </is>
      </c>
      <c r="F2" s="3" t="inlineStr">
        <is>
          <t>P0</t>
        </is>
      </c>
      <c r="G2" s="3" t="n"/>
      <c r="H2" s="3" t="inlineStr">
        <is>
          <t>CK-15</t>
        </is>
      </c>
      <c r="I2" s="3" t="inlineStr">
        <is>
          <t>No</t>
        </is>
      </c>
    </row>
    <row r="3">
      <c r="A3" s="3" t="inlineStr">
        <is>
          <t>CHK-E2E-002</t>
        </is>
      </c>
      <c r="B3" s="3" t="inlineStr">
        <is>
          <t>Buyer with a percentage coupon</t>
        </is>
      </c>
      <c r="C3" s="3" t="inlineStr">
        <is>
          <t>B1 signed in</t>
        </is>
      </c>
      <c r="D3" s="3" t="inlineStr">
        <is>
          <t>1. Apply K1 2. Buy Now 3. Pay</t>
        </is>
      </c>
      <c r="E3" s="3" t="inlineStr">
        <is>
          <t>Charged INR 8; enrolment row has the coupon; receipt amount INR 8</t>
        </is>
      </c>
      <c r="F3" s="3" t="inlineStr">
        <is>
          <t>P0</t>
        </is>
      </c>
      <c r="G3" s="3" t="n"/>
      <c r="H3" s="3" t="inlineStr">
        <is>
          <t>CK-12/15</t>
        </is>
      </c>
      <c r="I3" s="3" t="inlineStr">
        <is>
          <t>CDP-E2E-001</t>
        </is>
      </c>
    </row>
    <row r="4">
      <c r="A4" s="3" t="inlineStr">
        <is>
          <t>CHK-E2E-003</t>
        </is>
      </c>
      <c r="B4" s="3" t="inlineStr">
        <is>
          <t>International buyer (USD)</t>
        </is>
      </c>
      <c r="C4" s="3" t="inlineStr">
        <is>
          <t>B1</t>
        </is>
      </c>
      <c r="D4" s="3" t="inlineStr">
        <is>
          <t>1. Switch to International 2. Buy Now (USD) 3. Pay</t>
        </is>
      </c>
      <c r="E4" s="3" t="inlineStr">
        <is>
          <t>Charged $1; modal; enrolled</t>
        </is>
      </c>
      <c r="F4" s="3" t="inlineStr">
        <is>
          <t>P0</t>
        </is>
      </c>
      <c r="G4" s="3" t="n"/>
      <c r="H4" s="3" t="inlineStr">
        <is>
          <t>CK-16</t>
        </is>
      </c>
      <c r="I4" s="3" t="inlineStr">
        <is>
          <t>No</t>
        </is>
      </c>
    </row>
    <row r="5">
      <c r="A5" s="3" t="inlineStr">
        <is>
          <t>CHK-E2E-004</t>
        </is>
      </c>
      <c r="B5" s="3" t="inlineStr">
        <is>
          <t>Failed payment then successful retry</t>
        </is>
      </c>
      <c r="C5" s="3" t="inlineStr">
        <is>
          <t>B1</t>
        </is>
      </c>
      <c r="D5" s="3" t="inlineStr">
        <is>
          <t>1. Buy Now 2. Fail 3. Buy Now 4. Pay</t>
        </is>
      </c>
      <c r="E5" s="3" t="inlineStr">
        <is>
          <t>One enrolment; two orders at the gateway; one success email</t>
        </is>
      </c>
      <c r="F5" s="3" t="inlineStr">
        <is>
          <t>P0</t>
        </is>
      </c>
      <c r="G5" s="3" t="n"/>
      <c r="H5" s="3" t="inlineStr">
        <is>
          <t>CK-20</t>
        </is>
      </c>
      <c r="I5" s="3" t="inlineStr">
        <is>
          <t>CDP-E2E-008</t>
        </is>
      </c>
    </row>
    <row r="6">
      <c r="A6" s="3" t="inlineStr">
        <is>
          <t>CHK-E2E-005</t>
        </is>
      </c>
      <c r="B6" s="3" t="inlineStr">
        <is>
          <t>Restricted coupon, wrong user</t>
        </is>
      </c>
      <c r="C6" s="3" t="inlineStr">
        <is>
          <t>B2</t>
        </is>
      </c>
      <c r="D6" s="3" t="inlineStr">
        <is>
          <t>1. Apply K3 2. Try Buy Now</t>
        </is>
      </c>
      <c r="E6" s="3" t="inlineStr">
        <is>
          <t>Coupon refused; the buyer can still pay the full price</t>
        </is>
      </c>
      <c r="F6" s="3" t="inlineStr">
        <is>
          <t>P0</t>
        </is>
      </c>
      <c r="G6" s="3" t="n"/>
      <c r="H6" s="3" t="inlineStr">
        <is>
          <t>CK-14</t>
        </is>
      </c>
      <c r="I6" s="3" t="inlineStr">
        <is>
          <t>CDP-E2E-005</t>
        </is>
      </c>
    </row>
    <row r="7">
      <c r="A7" s="3" t="inlineStr">
        <is>
          <t>CHK-E2E-006</t>
        </is>
      </c>
      <c r="B7" s="3" t="inlineStr">
        <is>
          <t>Enrolled student tries to buy again</t>
        </is>
      </c>
      <c r="C7" s="3" t="inlineStr">
        <is>
          <t>S1 enrolled in C1</t>
        </is>
      </c>
      <c r="D7" s="3" t="inlineStr">
        <is>
          <t>1. Open C1</t>
        </is>
      </c>
      <c r="E7" s="3" t="inlineStr">
        <is>
          <t>Cannot start a purchase; Go to Dashboard</t>
        </is>
      </c>
      <c r="F7" s="3" t="inlineStr">
        <is>
          <t>P0</t>
        </is>
      </c>
      <c r="G7" s="3" t="n"/>
      <c r="H7" s="3" t="inlineStr">
        <is>
          <t>CK-28</t>
        </is>
      </c>
      <c r="I7" s="3" t="inlineStr">
        <is>
          <t>CDP-E2E-004</t>
        </is>
      </c>
    </row>
    <row r="8">
      <c r="A8" s="3" t="inlineStr">
        <is>
          <t>CHK-E2E-007</t>
        </is>
      </c>
      <c r="B8" s="3" t="inlineStr">
        <is>
          <t>Closed cohort cannot be bought</t>
        </is>
      </c>
      <c r="C8" s="3" t="inlineStr">
        <is>
          <t>Any user</t>
        </is>
      </c>
      <c r="D8" s="3" t="inlineStr">
        <is>
          <t>1. Open C2 2. Try the API directly</t>
        </is>
      </c>
      <c r="E8" s="3" t="inlineStr">
        <is>
          <t>UI has no Buy Now; API returns 400</t>
        </is>
      </c>
      <c r="F8" s="3" t="inlineStr">
        <is>
          <t>P0</t>
        </is>
      </c>
      <c r="G8" s="3" t="n"/>
      <c r="H8" s="3" t="inlineStr">
        <is>
          <t>CK-03</t>
        </is>
      </c>
      <c r="I8" s="3" t="inlineStr">
        <is>
          <t>tests/ui/sales-funnel.spec.ts</t>
        </is>
      </c>
    </row>
    <row r="9">
      <c r="A9" s="3" t="inlineStr">
        <is>
          <t>CHK-E2E-008</t>
        </is>
      </c>
      <c r="B9" s="3" t="inlineStr">
        <is>
          <t>Free-coupon journey hand-off</t>
        </is>
      </c>
      <c r="C9" s="3" t="inlineStr">
        <is>
          <t>B1</t>
        </is>
      </c>
      <c r="D9" s="3" t="inlineStr">
        <is>
          <t>1. Apply QA100 2. Enroll for Free</t>
        </is>
      </c>
      <c r="E9" s="3" t="inlineStr">
        <is>
          <t>No Razorpay; enrolled (full flow in PRD 05)</t>
        </is>
      </c>
      <c r="F9" s="3" t="inlineStr">
        <is>
          <t>P0</t>
        </is>
      </c>
      <c r="G9" s="3" t="n"/>
      <c r="H9" s="3" t="inlineStr">
        <is>
          <t>CK-31</t>
        </is>
      </c>
      <c r="I9" s="3" t="inlineStr">
        <is>
          <t>CDP-E2E-003</t>
        </is>
      </c>
    </row>
    <row r="10">
      <c r="A10" s="3" t="inlineStr">
        <is>
          <t>CHK-E2E-009</t>
        </is>
      </c>
      <c r="B10" s="3" t="inlineStr">
        <is>
          <t>Mobile buyer</t>
        </is>
      </c>
      <c r="C10" s="3" t="inlineStr">
        <is>
          <t>B2 on a phone</t>
        </is>
      </c>
      <c r="D10" s="3" t="inlineStr">
        <is>
          <t>1. Full paid flow</t>
        </is>
      </c>
      <c r="E10" s="3" t="inlineStr">
        <is>
          <t>All steps usable; enrolled</t>
        </is>
      </c>
      <c r="F10" s="3" t="inlineStr">
        <is>
          <t>P1</t>
        </is>
      </c>
      <c r="G10" s="3" t="n"/>
      <c r="H10" s="3" t="inlineStr">
        <is>
          <t>CK-32</t>
        </is>
      </c>
      <c r="I10" s="3" t="inlineStr">
        <is>
          <t>CDP-E2E-010</t>
        </is>
      </c>
    </row>
    <row r="11">
      <c r="A11" s="3" t="inlineStr">
        <is>
          <t>CHK-E2E-010</t>
        </is>
      </c>
      <c r="B11" s="3" t="inlineStr">
        <is>
          <t>Admin sees the purchase</t>
        </is>
      </c>
      <c r="C11" s="3" t="inlineStr">
        <is>
          <t>A1 after E2E-001</t>
        </is>
      </c>
      <c r="D11" s="3" t="inlineStr">
        <is>
          <t>1. Open /admin</t>
        </is>
      </c>
      <c r="E11" s="3" t="inlineStr">
        <is>
          <t>The new enrolment and the activity entry are visible</t>
        </is>
      </c>
      <c r="F11" s="3" t="inlineStr">
        <is>
          <t>P1</t>
        </is>
      </c>
      <c r="G11" s="3" t="n"/>
      <c r="H11" s="3" t="inlineStr">
        <is>
          <t>CK-27</t>
        </is>
      </c>
      <c r="I11" s="3" t="inlineStr">
        <is>
          <t>No</t>
        </is>
      </c>
    </row>
    <row r="12">
      <c r="F12" s="4" t="inlineStr">
        <is>
          <t>Coverage</t>
        </is>
      </c>
      <c r="G12" s="6">
        <f>IF(COUNTA(A2:A11)=0,0,(COUNTIF(G2:G11,"Passed")+COUNTIF(G2:G11,"Failed")+COUNTIF(G2:G11,"NA"))/COUNTA(A2:A11))</f>
        <v/>
      </c>
    </row>
  </sheetData>
  <conditionalFormatting sqref="G2:G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1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FR1, FR2, FR12, FR13, FR14 (entry) — Buy Now Entry &amp; CTA States</t>
        </is>
      </c>
      <c r="B2" s="6">
        <f>'Buy Now Entry and CTA States'!G17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FR3, FR4, FR20 — Order Creation &amp; Request</t>
        </is>
      </c>
      <c r="B3" s="6">
        <f>'Order Creation and Request'!G16</f>
        <v/>
      </c>
      <c r="D3" t="inlineStr">
        <is>
          <t>Passed</t>
        </is>
      </c>
      <c r="E3">
        <f>COUNTIF('Buy Now Entry and CTA States'!G2:G16, "Passed") + COUNTIF('Order Creation and Request'!G2:G15, "Passed") + COUNTIF('Razorpay Overlay and Amount Int'!G2:G19, "Passed") + COUNTIF('Payment Success and Verificatio'!G2:G15, "Passed") + COUNTIF('Payment Failure and Recovery'!G2:G12, "Passed") + COUNTIF('Duplicates and Idempotency'!G2:G9, "Passed") + COUNTIF('Post-Purchase State and Hand-of'!G2:G12, "Passed") + COUNTIF('Mobile, Browsers and Accessibil'!G2:G9, "Passed") + COUNTIF('Real Gateway Sandbox (Test Mode'!G2:G6, "Passed") + COUNTIF('End-to-End Business-Critical'!G2:G11, "Passed")</f>
        <v/>
      </c>
    </row>
    <row r="4">
      <c r="A4" t="inlineStr">
        <is>
          <t>FR5, FR6, FR17, FR18 — Razorpay Overlay &amp; Amount Integrity</t>
        </is>
      </c>
      <c r="B4" s="6">
        <f>'Razorpay Overlay and Amount Int'!G20</f>
        <v/>
      </c>
      <c r="D4" t="inlineStr">
        <is>
          <t>Failed</t>
        </is>
      </c>
      <c r="E4">
        <f>COUNTIF('Buy Now Entry and CTA States'!G2:G16, "Failed") + COUNTIF('Order Creation and Request'!G2:G15, "Failed") + COUNTIF('Razorpay Overlay and Amount Int'!G2:G19, "Failed") + COUNTIF('Payment Success and Verificatio'!G2:G15, "Failed") + COUNTIF('Payment Failure and Recovery'!G2:G12, "Failed") + COUNTIF('Duplicates and Idempotency'!G2:G9, "Failed") + COUNTIF('Post-Purchase State and Hand-of'!G2:G12, "Failed") + COUNTIF('Mobile, Browsers and Accessibil'!G2:G9, "Failed") + COUNTIF('Real Gateway Sandbox (Test Mode'!G2:G6, "Failed") + COUNTIF('End-to-End Business-Critical'!G2:G11, "Failed")</f>
        <v/>
      </c>
    </row>
    <row r="5">
      <c r="A5" t="inlineStr">
        <is>
          <t>FR7, FR8, FR16 (verification) — Payment Success &amp; Verification</t>
        </is>
      </c>
      <c r="B5" s="6">
        <f>'Payment Success and Verificatio'!G16</f>
        <v/>
      </c>
      <c r="D5" t="inlineStr">
        <is>
          <t>Not Applicable</t>
        </is>
      </c>
      <c r="E5">
        <f>COUNTIF('Buy Now Entry and CTA States'!G2:G16, "NA") + COUNTIF('Order Creation and Request'!G2:G15, "NA") + COUNTIF('Razorpay Overlay and Amount Int'!G2:G19, "NA") + COUNTIF('Payment Success and Verificatio'!G2:G15, "NA") + COUNTIF('Payment Failure and Recovery'!G2:G12, "NA") + COUNTIF('Duplicates and Idempotency'!G2:G9, "NA") + COUNTIF('Post-Purchase State and Hand-of'!G2:G12, "NA") + COUNTIF('Mobile, Browsers and Accessibil'!G2:G9, "NA") + COUNTIF('Real Gateway Sandbox (Test Mode'!G2:G6, "NA") + COUNTIF('End-to-End Business-Critical'!G2:G11, "NA")</f>
        <v/>
      </c>
    </row>
    <row r="6">
      <c r="A6" t="inlineStr">
        <is>
          <t>FR9, FR10, FR11, FR20 — Payment Failure &amp; Recovery</t>
        </is>
      </c>
      <c r="B6" s="6">
        <f>'Payment Failure and Recovery'!G13</f>
        <v/>
      </c>
      <c r="D6" t="inlineStr">
        <is>
          <t>Not Tested Yet</t>
        </is>
      </c>
      <c r="E6">
        <f>E7-E3-E4-E5</f>
        <v/>
      </c>
    </row>
    <row r="7">
      <c r="A7" t="inlineStr">
        <is>
          <t>FR14, FR15, FR21 — Duplicates &amp; Idempotency</t>
        </is>
      </c>
      <c r="B7" s="6">
        <f>'Duplicates and Idempotency'!G10</f>
        <v/>
      </c>
      <c r="D7" t="inlineStr">
        <is>
          <t>Total Test Cases</t>
        </is>
      </c>
      <c r="E7">
        <f>COUNTA('Buy Now Entry and CTA States'!A2:A16) + COUNTA('Order Creation and Request'!A2:A15) + COUNTA('Razorpay Overlay and Amount Int'!A2:A19) + COUNTA('Payment Success and Verificatio'!A2:A15) + COUNTA('Payment Failure and Recovery'!A2:A12) + COUNTA('Duplicates and Idempotency'!A2:A9) + COUNTA('Post-Purchase State and Hand-of'!A2:A12) + COUNTA('Mobile, Browsers and Accessibil'!A2:A9) + COUNTA('Real Gateway Sandbox (Test Mode'!A2:A6) + COUNTA('End-to-End Business-Critical'!A2:A11)</f>
        <v/>
      </c>
    </row>
    <row r="8">
      <c r="A8" t="inlineStr">
        <is>
          <t>FR16, FR19, FR21 — Post-Purchase State &amp; Hand-off</t>
        </is>
      </c>
      <c r="B8" s="6">
        <f>'Post-Purchase State and Hand-of'!G13</f>
        <v/>
      </c>
    </row>
    <row r="9">
      <c r="A9" t="inlineStr">
        <is>
          <t>FR22 — Mobile, Browsers &amp; Accessibility</t>
        </is>
      </c>
      <c r="B9" s="6">
        <f>'Mobile, Browsers and Accessibil'!G10</f>
        <v/>
      </c>
    </row>
    <row r="10">
      <c r="A10" t="inlineStr">
        <is>
          <t>FR5, FR7, FR9 (real overlay) — Real Gateway Sandbox (Test Mode)</t>
        </is>
      </c>
      <c r="B10" s="6">
        <f>'Real Gateway Sandbox (Test Mode'!G7</f>
        <v/>
      </c>
    </row>
    <row r="11">
      <c r="A11" t="inlineStr">
        <is>
          <t>FR1 to FR19 (journeys) — End-to-End Business-Critical</t>
        </is>
      </c>
      <c r="B11" s="6">
        <f>'End-to-End Business-Critical'!G12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2026-10-29T07:20:39Z</dcterms:created>
  <dcterms:modified xsi:type="dcterms:W3CDTF">2026-10-29T07:20:39Z</dcterms:modified>
</cp:coreProperties>
</file>