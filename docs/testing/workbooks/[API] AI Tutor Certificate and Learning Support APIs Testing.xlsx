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User Data" sheetId="1" state="visible" r:id="rId1"/>
    <sheet name="AI Tutor API" sheetId="2" state="visible" r:id="rId2"/>
    <sheet name="Certificate API" sheetId="3" state="visible" r:id="rId3"/>
    <sheet name="Time and XP APIs" sheetId="4" state="visible" r:id="rId4"/>
    <sheet name="Traceability to Functional Req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39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B7E1CD"/>
        </patternFill>
      </fill>
    </dxf>
    <dxf>
      <fill>
        <patternFill patternType="solid">
          <bgColor rgb="00F4C7C3"/>
        </patternFill>
      </fill>
    </dxf>
    <dxf>
      <fill>
        <patternFill patternType="solid">
          <bgColor rgb="00FCE8B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'Traceability to Functional Requ'!$D$3:$D$6</f>
            </numRef>
          </cat>
          <val>
            <numRef>
              <f>'Traceability to Functional Requ'!$E$3:$E$6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42" customWidth="1" min="3" max="3"/>
  </cols>
  <sheetData>
    <row r="2">
      <c r="A2" s="1" t="inlineStr">
        <is>
          <t>Test Data / User Accounts</t>
        </is>
      </c>
    </row>
    <row r="3">
      <c r="A3" s="2" t="inlineStr">
        <is>
          <t>Test Data</t>
        </is>
      </c>
      <c r="B3" s="2" t="inlineStr">
        <is>
          <t>Description</t>
        </is>
      </c>
      <c r="C3" s="2" t="inlineStr">
        <is>
          <t>User ID</t>
        </is>
      </c>
    </row>
    <row r="4">
      <c r="A4" s="3" t="inlineStr">
        <is>
          <t>V1</t>
        </is>
      </c>
      <c r="B4" s="3" t="inlineStr">
        <is>
          <t>Caller without a session</t>
        </is>
      </c>
      <c r="C4" s="3" t="inlineStr">
        <is>
          <t>NA</t>
        </is>
      </c>
    </row>
    <row r="5">
      <c r="A5" s="3" t="inlineStr">
        <is>
          <t>L1</t>
        </is>
      </c>
      <c r="B5" s="3" t="inlineStr">
        <is>
          <t>Signed-in learner with a stats row (its time and points are restored after each case)</t>
        </is>
      </c>
      <c r="C5" s="3" t="inlineStr">
        <is>
          <t>mavish.ps8@gmail.com</t>
        </is>
      </c>
    </row>
    <row r="6">
      <c r="A6" s="3" t="inlineStr">
        <is>
          <t>CF</t>
        </is>
      </c>
      <c r="B6" s="3" t="inlineStr">
        <is>
          <t>QA fixture course used for temporary progress rows</t>
        </is>
      </c>
      <c r="C6" s="3" t="inlineStr">
        <is>
          <t>qa-checkout-sandbox</t>
        </is>
      </c>
    </row>
    <row r="8">
      <c r="A8" s="4" t="inlineStr">
        <is>
          <t>Notes</t>
        </is>
      </c>
      <c r="B8" s="3" t="inlineStr">
        <is>
          <t>The AI tutor is a mock today (no model is called). Certificates are built in memory, nothing is stored. track-time and xp/sync write the stats row of L1, which is restored after every case. Expected codes describe a correct API; known failures are marked.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AIA-TUT-001</t>
        </is>
      </c>
      <c r="B2" s="3" t="inlineStr">
        <is>
          <t>Visitor can call it</t>
        </is>
      </c>
      <c r="C2" s="3" t="inlineStr">
        <is>
          <t>V1</t>
        </is>
      </c>
      <c r="D2" s="3" t="inlineStr">
        <is>
          <t>1. POST /api/ai-tutor {labType:'python', code, output}</t>
        </is>
      </c>
      <c r="E2" s="3" t="inlineStr">
        <is>
          <t>200 {success:true, message} (the route is public)</t>
        </is>
      </c>
      <c r="F2" s="3" t="inlineStr">
        <is>
          <t>P1</t>
        </is>
      </c>
      <c r="G2" s="3" t="n"/>
      <c r="H2" s="3" t="inlineStr">
        <is>
          <t>AI-01</t>
        </is>
      </c>
      <c r="I2" s="3" t="inlineStr">
        <is>
          <t>tests/api/learning-apis.spec.ts</t>
        </is>
      </c>
    </row>
    <row r="3">
      <c r="A3" s="3" t="inlineStr">
        <is>
          <t>AIA-TUT-002</t>
        </is>
      </c>
      <c r="B3" s="3" t="inlineStr">
        <is>
          <t>Hints by error</t>
        </is>
      </c>
      <c r="C3" s="3" t="inlineStr">
        <is>
          <t>V1</t>
        </is>
      </c>
      <c r="D3" s="3" t="inlineStr">
        <is>
          <t>1. POST outputs with SyntaxError, NameError and an empty code</t>
        </is>
      </c>
      <c r="E3" s="3" t="inlineStr">
        <is>
          <t>Syntax hint, 'not been defined' hint, 'editor is empty' hint</t>
        </is>
      </c>
      <c r="F3" s="3" t="inlineStr">
        <is>
          <t>P1</t>
        </is>
      </c>
      <c r="G3" s="3" t="n"/>
      <c r="H3" s="3" t="inlineStr">
        <is>
          <t>AI-02</t>
        </is>
      </c>
      <c r="I3" s="3" t="inlineStr">
        <is>
          <t>tests/api/learning-apis.spec.ts</t>
        </is>
      </c>
    </row>
    <row r="4">
      <c r="A4" s="3" t="inlineStr">
        <is>
          <t>AIA-TUT-003</t>
        </is>
      </c>
      <c r="B4" s="3" t="inlineStr">
        <is>
          <t>Git lab hints</t>
        </is>
      </c>
      <c r="C4" s="3" t="inlineStr">
        <is>
          <t>V1</t>
        </is>
      </c>
      <c r="D4" s="3" t="inlineStr">
        <is>
          <t>1. POST labType 'git' with last command 'nothing to commit', 'not supported', and no history</t>
        </is>
      </c>
      <c r="E4" s="3" t="inlineStr">
        <is>
          <t>Staged-changes hint, simulator hint, status/add/commit hint</t>
        </is>
      </c>
      <c r="F4" s="3" t="inlineStr">
        <is>
          <t>P1</t>
        </is>
      </c>
      <c r="G4" s="3" t="n"/>
      <c r="H4" s="3" t="inlineStr">
        <is>
          <t>AI-02</t>
        </is>
      </c>
      <c r="I4" s="3" t="inlineStr">
        <is>
          <t>tests/api/learning-apis.spec.ts</t>
        </is>
      </c>
    </row>
    <row r="5">
      <c r="A5" s="3" t="inlineStr">
        <is>
          <t>AIA-TUT-004</t>
        </is>
      </c>
      <c r="B5" s="3" t="inlineStr">
        <is>
          <t>Empty body</t>
        </is>
      </c>
      <c r="C5" s="3" t="inlineStr">
        <is>
          <t>V1</t>
        </is>
      </c>
      <c r="D5" s="3" t="inlineStr">
        <is>
          <t>1. POST {}</t>
        </is>
      </c>
      <c r="E5" s="3" t="inlineStr">
        <is>
          <t>200 with the default Test Mode message</t>
        </is>
      </c>
      <c r="F5" s="3" t="inlineStr">
        <is>
          <t>P2</t>
        </is>
      </c>
      <c r="G5" s="3" t="n"/>
      <c r="H5" s="3" t="inlineStr">
        <is>
          <t>AI-03</t>
        </is>
      </c>
      <c r="I5" s="3" t="inlineStr">
        <is>
          <t>tests/api/learning-apis.spec.ts</t>
        </is>
      </c>
    </row>
    <row r="6">
      <c r="A6" s="3" t="inlineStr">
        <is>
          <t>AIA-TUT-005</t>
        </is>
      </c>
      <c r="B6" s="3" t="inlineStr">
        <is>
          <t>Unreadable body</t>
        </is>
      </c>
      <c r="C6" s="3" t="inlineStr">
        <is>
          <t>V1</t>
        </is>
      </c>
      <c r="D6" s="3" t="inlineStr">
        <is>
          <t>1. POST '{not json'</t>
        </is>
      </c>
      <c r="E6" s="3" t="inlineStr">
        <is>
          <t>4xx, not 5xx</t>
        </is>
      </c>
      <c r="F6" s="3" t="inlineStr">
        <is>
          <t>P2</t>
        </is>
      </c>
      <c r="G6" s="3" t="n"/>
      <c r="H6" s="3" t="inlineStr">
        <is>
          <t>AI-03</t>
        </is>
      </c>
      <c r="I6" s="3" t="inlineStr">
        <is>
          <t>tests/api/learning-apis.spec.ts</t>
        </is>
      </c>
    </row>
    <row r="7">
      <c r="A7" s="3" t="inlineStr">
        <is>
          <t>AIA-TUT-006</t>
        </is>
      </c>
      <c r="B7" s="3" t="inlineStr">
        <is>
          <t>Very large code field</t>
        </is>
      </c>
      <c r="C7" s="3" t="inlineStr">
        <is>
          <t>V1</t>
        </is>
      </c>
      <c r="D7" s="3" t="inlineStr">
        <is>
          <t>1. POST 200,000 lines of code</t>
        </is>
      </c>
      <c r="E7" s="3" t="inlineStr">
        <is>
          <t>200, 400 or 413 (controlled)</t>
        </is>
      </c>
      <c r="F7" s="3" t="inlineStr">
        <is>
          <t>P2</t>
        </is>
      </c>
      <c r="G7" s="3" t="n"/>
      <c r="H7" s="3" t="inlineStr">
        <is>
          <t>AI-03</t>
        </is>
      </c>
      <c r="I7" s="3" t="inlineStr">
        <is>
          <t>tests/api/learning-apis.spec.ts</t>
        </is>
      </c>
    </row>
    <row r="8">
      <c r="A8" s="3" t="inlineStr">
        <is>
          <t>AIA-TUT-007</t>
        </is>
      </c>
      <c r="B8" s="3" t="inlineStr">
        <is>
          <t>Sign-in required</t>
        </is>
      </c>
      <c r="C8" s="3" t="inlineStr">
        <is>
          <t>V1</t>
        </is>
      </c>
      <c r="D8" s="3" t="inlineStr">
        <is>
          <t>1. POST without a session</t>
        </is>
      </c>
      <c r="E8" s="3" t="inlineStr">
        <is>
          <t>401/403 (known failure: it is public; once a real model is used any visitor spends the owner's tokens)</t>
        </is>
      </c>
      <c r="F8" s="3" t="inlineStr">
        <is>
          <t>P1</t>
        </is>
      </c>
      <c r="G8" s="3" t="n"/>
      <c r="H8" s="3" t="inlineStr">
        <is>
          <t>AI-01</t>
        </is>
      </c>
      <c r="I8" s="3" t="inlineStr">
        <is>
          <t>tests/api/learning-apis.spec.ts (known failure)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AIA-CRT-001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/api/generate-certificate</t>
        </is>
      </c>
      <c r="E2" s="3" t="inlineStr">
        <is>
          <t>Refused (401/403/redirect)</t>
        </is>
      </c>
      <c r="F2" s="3" t="inlineStr">
        <is>
          <t>P0</t>
        </is>
      </c>
      <c r="G2" s="3" t="n"/>
      <c r="H2" s="3" t="inlineStr">
        <is>
          <t>AI-04</t>
        </is>
      </c>
      <c r="I2" s="3" t="inlineStr">
        <is>
          <t>tests/api/learning-apis.spec.ts</t>
        </is>
      </c>
    </row>
    <row r="3">
      <c r="A3" s="3" t="inlineStr">
        <is>
          <t>AIA-CRT-002</t>
        </is>
      </c>
      <c r="B3" s="3" t="inlineStr">
        <is>
          <t>Missing data</t>
        </is>
      </c>
      <c r="C3" s="3" t="inlineStr">
        <is>
          <t>L1</t>
        </is>
      </c>
      <c r="D3" s="3" t="inlineStr">
        <is>
          <t>1. POST {}, name only, title only, blanks</t>
        </is>
      </c>
      <c r="E3" s="3" t="inlineStr">
        <is>
          <t>400 'Missing data'</t>
        </is>
      </c>
      <c r="F3" s="3" t="inlineStr">
        <is>
          <t>P1</t>
        </is>
      </c>
      <c r="G3" s="3" t="n"/>
      <c r="H3" s="3" t="inlineStr">
        <is>
          <t>AI-05</t>
        </is>
      </c>
      <c r="I3" s="3" t="inlineStr">
        <is>
          <t>tests/api/learning-apis.spec.ts</t>
        </is>
      </c>
    </row>
    <row r="4">
      <c r="A4" s="3" t="inlineStr">
        <is>
          <t>AIA-CRT-003</t>
        </is>
      </c>
      <c r="B4" s="3" t="inlineStr">
        <is>
          <t>Valid request</t>
        </is>
      </c>
      <c r="C4" s="3" t="inlineStr">
        <is>
          <t>L1</t>
        </is>
      </c>
      <c r="D4" s="3" t="inlineStr">
        <is>
          <t>1. POST studentName and courseTitle</t>
        </is>
      </c>
      <c r="E4" s="3" t="inlineStr">
        <is>
          <t>200, content-type application/pdf, body starts with %PDF-</t>
        </is>
      </c>
      <c r="F4" s="3" t="inlineStr">
        <is>
          <t>P0</t>
        </is>
      </c>
      <c r="G4" s="3" t="n"/>
      <c r="H4" s="3" t="inlineStr">
        <is>
          <t>AI-05</t>
        </is>
      </c>
      <c r="I4" s="3" t="inlineStr">
        <is>
          <t>tests/api/learning-apis.spec.ts</t>
        </is>
      </c>
    </row>
    <row r="5">
      <c r="A5" s="3" t="inlineStr">
        <is>
          <t>AIA-CRT-004</t>
        </is>
      </c>
      <c r="B5" s="3" t="inlineStr">
        <is>
          <t>Unusual names</t>
        </is>
      </c>
      <c r="C5" s="3" t="inlineStr">
        <is>
          <t>L1</t>
        </is>
      </c>
      <c r="D5" s="3" t="inlineStr">
        <is>
          <t>1. POST accented, 300-character, markup and Japanese names</t>
        </is>
      </c>
      <c r="E5" s="3" t="inlineStr">
        <is>
          <t>No 5xx (known failure: a Japanese name gives 500, the standard font cannot draw it)</t>
        </is>
      </c>
      <c r="F5" s="3" t="inlineStr">
        <is>
          <t>P1</t>
        </is>
      </c>
      <c r="G5" s="3" t="n"/>
      <c r="H5" s="3" t="inlineStr">
        <is>
          <t>AI-06</t>
        </is>
      </c>
      <c r="I5" s="3" t="inlineStr">
        <is>
          <t>tests/api/learning-apis.spec.ts (known failure)</t>
        </is>
      </c>
    </row>
    <row r="6">
      <c r="A6" s="3" t="inlineStr">
        <is>
          <t>AIA-CRT-005</t>
        </is>
      </c>
      <c r="B6" s="3" t="inlineStr">
        <is>
          <t>Only for finishers</t>
        </is>
      </c>
      <c r="C6" s="3" t="inlineStr">
        <is>
          <t>L1</t>
        </is>
      </c>
      <c r="D6" s="3" t="inlineStr">
        <is>
          <t>1. POST a name and title for a course the caller has not finished</t>
        </is>
      </c>
      <c r="E6" s="3" t="inlineStr">
        <is>
          <t>Refused (known failure: any signed-in user can generate a certificate for any name; the page itself builds PDFs in the browser and does not call this route)</t>
        </is>
      </c>
      <c r="F6" s="3" t="inlineStr">
        <is>
          <t>P0</t>
        </is>
      </c>
      <c r="G6" s="3" t="n"/>
      <c r="H6" s="3" t="inlineStr">
        <is>
          <t>AI-07</t>
        </is>
      </c>
      <c r="I6" s="3" t="inlineStr">
        <is>
          <t>tests/api/learning-apis.spec.ts (known failure)</t>
        </is>
      </c>
    </row>
    <row r="7">
      <c r="F7" s="4" t="inlineStr">
        <is>
          <t>Coverage</t>
        </is>
      </c>
      <c r="G7" s="6">
        <f>IF(COUNTA(A2:A6)=0,0,(COUNTIF(G2:G6,"Passed")+COUNTIF(G2:G6,"Failed")+COUNTIF(G2:G6,"NA"))/COUNTA(A2:A6))</f>
        <v/>
      </c>
    </row>
  </sheetData>
  <conditionalFormatting sqref="G2:G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6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32" customWidth="1" min="3" max="3"/>
    <col width="40" customWidth="1" min="4" max="4"/>
    <col width="44" customWidth="1" min="5" max="5"/>
    <col width="9" customWidth="1" min="6" max="6"/>
    <col width="13" customWidth="1" min="7" max="7"/>
    <col width="12" customWidth="1" min="8" max="8"/>
    <col width="34" customWidth="1" min="9" max="9"/>
  </cols>
  <sheetData>
    <row r="1">
      <c r="A1" s="5" t="inlineStr">
        <is>
          <t>TC ID</t>
        </is>
      </c>
      <c r="B1" s="5" t="inlineStr">
        <is>
          <t>Scenario</t>
        </is>
      </c>
      <c r="C1" s="5" t="inlineStr">
        <is>
          <t>Preconditions</t>
        </is>
      </c>
      <c r="D1" s="5" t="inlineStr">
        <is>
          <t>Steps</t>
        </is>
      </c>
      <c r="E1" s="5" t="inlineStr">
        <is>
          <t>Expected Result</t>
        </is>
      </c>
      <c r="F1" s="5" t="inlineStr">
        <is>
          <t>Priority</t>
        </is>
      </c>
      <c r="G1" s="5" t="inlineStr">
        <is>
          <t>Result</t>
        </is>
      </c>
      <c r="H1" s="5" t="inlineStr">
        <is>
          <t>PRD Scenario</t>
        </is>
      </c>
      <c r="I1" s="5" t="inlineStr">
        <is>
          <t>Automated</t>
        </is>
      </c>
    </row>
    <row r="2">
      <c r="A2" s="3" t="inlineStr">
        <is>
          <t>AIA-TRK-001</t>
        </is>
      </c>
      <c r="B2" s="3" t="inlineStr">
        <is>
          <t>Visitor</t>
        </is>
      </c>
      <c r="C2" s="3" t="inlineStr">
        <is>
          <t>V1</t>
        </is>
      </c>
      <c r="D2" s="3" t="inlineStr">
        <is>
          <t>1. POST /api/track-time and /api/xp/sync</t>
        </is>
      </c>
      <c r="E2" s="3" t="inlineStr">
        <is>
          <t>401 both</t>
        </is>
      </c>
      <c r="F2" s="3" t="inlineStr">
        <is>
          <t>P0</t>
        </is>
      </c>
      <c r="G2" s="3" t="n"/>
      <c r="H2" s="3" t="inlineStr">
        <is>
          <t>AI-08</t>
        </is>
      </c>
      <c r="I2" s="3" t="inlineStr">
        <is>
          <t>tests/api/learning-apis.spec.ts</t>
        </is>
      </c>
    </row>
    <row r="3">
      <c r="A3" s="3" t="inlineStr">
        <is>
          <t>AIA-TRK-002</t>
        </is>
      </c>
      <c r="B3" s="3" t="inlineStr">
        <is>
          <t>Seconds validation</t>
        </is>
      </c>
      <c r="C3" s="3" t="inlineStr">
        <is>
          <t>L1</t>
        </is>
      </c>
      <c r="D3" s="3" t="inlineStr">
        <is>
          <t>1. POST 0, -1, 61, 1.5, '60', null, undefined, 1e9</t>
        </is>
      </c>
      <c r="E3" s="3" t="inlineStr">
        <is>
          <t>400 'Invalid seconds'</t>
        </is>
      </c>
      <c r="F3" s="3" t="inlineStr">
        <is>
          <t>P1</t>
        </is>
      </c>
      <c r="G3" s="3" t="n"/>
      <c r="H3" s="3" t="inlineStr">
        <is>
          <t>AI-09</t>
        </is>
      </c>
      <c r="I3" s="3" t="inlineStr">
        <is>
          <t>tests/api/learning-apis.spec.ts</t>
        </is>
      </c>
    </row>
    <row r="4">
      <c r="A4" s="3" t="inlineStr">
        <is>
          <t>AIA-TRK-003</t>
        </is>
      </c>
      <c r="B4" s="3" t="inlineStr">
        <is>
          <t>Valid ping</t>
        </is>
      </c>
      <c r="C4" s="3" t="inlineStr">
        <is>
          <t>L1</t>
        </is>
      </c>
      <c r="D4" s="3" t="inlineStr">
        <is>
          <t>1. POST seconds 60</t>
        </is>
      </c>
      <c r="E4" s="3" t="inlineStr">
        <is>
          <t>200; newTotal = old total + 60; the stats row equals it</t>
        </is>
      </c>
      <c r="F4" s="3" t="inlineStr">
        <is>
          <t>P1</t>
        </is>
      </c>
      <c r="G4" s="3" t="n"/>
      <c r="H4" s="3" t="inlineStr">
        <is>
          <t>AI-09</t>
        </is>
      </c>
      <c r="I4" s="3" t="inlineStr">
        <is>
          <t>tests/api/learning-apis.spec.ts</t>
        </is>
      </c>
    </row>
    <row r="5">
      <c r="A5" s="3" t="inlineStr">
        <is>
          <t>AIA-TRK-004</t>
        </is>
      </c>
      <c r="B5" s="3" t="inlineStr">
        <is>
          <t>Time cannot be inflated</t>
        </is>
      </c>
      <c r="C5" s="3" t="inlineStr">
        <is>
          <t>L1</t>
        </is>
      </c>
      <c r="D5" s="3" t="inlineStr">
        <is>
          <t>1. POST ten 60-second pings at once</t>
        </is>
      </c>
      <c r="E5" s="3" t="inlineStr">
        <is>
          <t>Fewer than ten accepted (known failure: all ten, so engagement time can be pushed up by a script)</t>
        </is>
      </c>
      <c r="F5" s="3" t="inlineStr">
        <is>
          <t>P1</t>
        </is>
      </c>
      <c r="G5" s="3" t="n"/>
      <c r="H5" s="3" t="inlineStr">
        <is>
          <t>AI-10</t>
        </is>
      </c>
      <c r="I5" s="3" t="inlineStr">
        <is>
          <t>tests/api/learning-apis.spec.ts (known failure)</t>
        </is>
      </c>
    </row>
    <row r="6">
      <c r="A6" s="3" t="inlineStr">
        <is>
          <t>AIA-XP-001</t>
        </is>
      </c>
      <c r="B6" s="3" t="inlineStr">
        <is>
          <t>XP needs a session</t>
        </is>
      </c>
      <c r="C6" s="3" t="inlineStr">
        <is>
          <t>V1</t>
        </is>
      </c>
      <c r="D6" s="3" t="inlineStr">
        <is>
          <t>1. POST /api/xp/sync</t>
        </is>
      </c>
      <c r="E6" s="3" t="inlineStr">
        <is>
          <t>401</t>
        </is>
      </c>
      <c r="F6" s="3" t="inlineStr">
        <is>
          <t>P0</t>
        </is>
      </c>
      <c r="G6" s="3" t="n"/>
      <c r="H6" s="3" t="inlineStr">
        <is>
          <t>AI-08</t>
        </is>
      </c>
      <c r="I6" s="3" t="inlineStr">
        <is>
          <t>tests/api/learning-apis.spec.ts</t>
        </is>
      </c>
    </row>
    <row r="7">
      <c r="A7" s="3" t="inlineStr">
        <is>
          <t>AIA-XP-002</t>
        </is>
      </c>
      <c r="B7" s="3" t="inlineStr">
        <is>
          <t>XP is computed from progress</t>
        </is>
      </c>
      <c r="C7" s="3" t="inlineStr">
        <is>
          <t>L1; 2 video rows and 1 assignment row</t>
        </is>
      </c>
      <c r="D7" s="3" t="inlineStr">
        <is>
          <t>1. POST /api/xp/sync twice</t>
        </is>
      </c>
      <c r="E7" s="3" t="inlineStr">
        <is>
          <t>points = 10 x videos + 50 x assignments; the second call changes nothing</t>
        </is>
      </c>
      <c r="F7" s="3" t="inlineStr">
        <is>
          <t>P0</t>
        </is>
      </c>
      <c r="G7" s="3" t="n"/>
      <c r="H7" s="3" t="inlineStr">
        <is>
          <t>AI-11</t>
        </is>
      </c>
      <c r="I7" s="3" t="inlineStr">
        <is>
          <t>tests/api/learning-apis.spec.ts</t>
        </is>
      </c>
    </row>
    <row r="8">
      <c r="A8" s="3" t="inlineStr">
        <is>
          <t>AIA-XP-003</t>
        </is>
      </c>
      <c r="B8" s="3" t="inlineStr">
        <is>
          <t>Caller cannot set XP</t>
        </is>
      </c>
      <c r="C8" s="3" t="inlineStr">
        <is>
          <t>L1</t>
        </is>
      </c>
      <c r="D8" s="3" t="inlineStr">
        <is>
          <t>1. POST with points 999999 and another userId</t>
        </is>
      </c>
      <c r="E8" s="3" t="inlineStr">
        <is>
          <t>Body ignored; points come from progress</t>
        </is>
      </c>
      <c r="F8" s="3" t="inlineStr">
        <is>
          <t>P0</t>
        </is>
      </c>
      <c r="G8" s="3" t="n"/>
      <c r="H8" s="3" t="inlineStr">
        <is>
          <t>AI-11</t>
        </is>
      </c>
      <c r="I8" s="3" t="inlineStr">
        <is>
          <t>tests/api/learning-apis.spec.ts</t>
        </is>
      </c>
    </row>
    <row r="9">
      <c r="F9" s="4" t="inlineStr">
        <is>
          <t>Coverage</t>
        </is>
      </c>
      <c r="G9" s="6">
        <f>IF(COUNTA(A2:A8)=0,0,(COUNTIF(G2:G8,"Passed")+COUNTIF(G2:G8,"Failed")+COUNTIF(G2:G8,"NA"))/COUNTA(A2:A8))</f>
        <v/>
      </c>
    </row>
  </sheetData>
  <conditionalFormatting sqref="G2:G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"NA"</formula>
    </cfRule>
  </conditionalFormatting>
  <dataValidations count="1">
    <dataValidation sqref="G2:G8" showDropDown="0" showInputMessage="0" showErrorMessage="0" allowBlank="1" type="list">
      <formula1>"Passed,Failed,NA"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8" customWidth="1" min="4" max="4"/>
  </cols>
  <sheetData>
    <row r="1">
      <c r="A1" s="4" t="inlineStr">
        <is>
          <t>Requirement</t>
        </is>
      </c>
      <c r="B1" s="4" t="inlineStr">
        <is>
          <t>Coverage Rate</t>
        </is>
      </c>
    </row>
    <row r="2">
      <c r="A2" t="inlineStr">
        <is>
          <t>FR1-FR3 — AI Tutor API</t>
        </is>
      </c>
      <c r="B2" s="6">
        <f>'AI Tutor API'!G9</f>
        <v/>
      </c>
      <c r="D2" s="4" t="inlineStr">
        <is>
          <t>Status</t>
        </is>
      </c>
      <c r="E2" s="4" t="inlineStr">
        <is>
          <t>Count</t>
        </is>
      </c>
    </row>
    <row r="3">
      <c r="A3" t="inlineStr">
        <is>
          <t>FR4-FR6 — Certificate API</t>
        </is>
      </c>
      <c r="B3" s="6">
        <f>'Certificate API'!G7</f>
        <v/>
      </c>
      <c r="D3" t="inlineStr">
        <is>
          <t>Passed</t>
        </is>
      </c>
      <c r="E3">
        <f>COUNTIF('AI Tutor API'!G2:G8, "Passed") + COUNTIF('Certificate API'!G2:G6, "Passed") + COUNTIF('Time and XP APIs'!G2:G8, "Passed")</f>
        <v/>
      </c>
    </row>
    <row r="4">
      <c r="A4" t="inlineStr">
        <is>
          <t>FR7-FR9 — Time and XP APIs</t>
        </is>
      </c>
      <c r="B4" s="6">
        <f>'Time and XP APIs'!G9</f>
        <v/>
      </c>
      <c r="D4" t="inlineStr">
        <is>
          <t>Failed</t>
        </is>
      </c>
      <c r="E4">
        <f>COUNTIF('AI Tutor API'!G2:G8, "Failed") + COUNTIF('Certificate API'!G2:G6, "Failed") + COUNTIF('Time and XP APIs'!G2:G8, "Failed")</f>
        <v/>
      </c>
    </row>
    <row r="5">
      <c r="D5" t="inlineStr">
        <is>
          <t>Not Applicable</t>
        </is>
      </c>
      <c r="E5">
        <f>COUNTIF('AI Tutor API'!G2:G8, "NA") + COUNTIF('Certificate API'!G2:G6, "NA") + COUNTIF('Time and XP APIs'!G2:G8, "NA")</f>
        <v/>
      </c>
    </row>
    <row r="6">
      <c r="D6" t="inlineStr">
        <is>
          <t>Not Tested Yet</t>
        </is>
      </c>
      <c r="E6">
        <f>E7-E3-E4-E5</f>
        <v/>
      </c>
    </row>
    <row r="7">
      <c r="D7" t="inlineStr">
        <is>
          <t>Total Test Cases</t>
        </is>
      </c>
      <c r="E7">
        <f>COUNTA('AI Tutor API'!A2:A8) + COUNTA('Certificate API'!A2:A6) + COUNTA('Time and XP APIs'!A2:A8)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2026-10-30T16:56:31Z</dcterms:created>
  <dcterms:modified xsi:type="dcterms:W3CDTF">2026-10-30T16:56:31Z</dcterms:modified>
</cp:coreProperties>
</file>