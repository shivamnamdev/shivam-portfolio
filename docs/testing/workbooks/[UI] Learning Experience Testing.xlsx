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 Data" sheetId="1" state="visible" r:id="rId1"/>
    <sheet name="Page Load and Curriculum" sheetId="2" state="visible" r:id="rId2"/>
    <sheet name="Lesson Player and Progress" sheetId="3" state="visible" r:id="rId3"/>
    <sheet name="Tabs QandA and Materials" sheetId="4" state="visible" r:id="rId4"/>
    <sheet name="Python Lab" sheetId="5" state="visible" r:id="rId5"/>
    <sheet name="Git Lab" sheetId="6" state="visible" r:id="rId6"/>
    <sheet name="AI Tutor" sheetId="7" state="visible" r:id="rId7"/>
    <sheet name="Final Exam Locks Certificate" sheetId="8" state="visible" r:id="rId8"/>
    <sheet name="Resilience to External Services" sheetId="9" state="visible" r:id="rId9"/>
    <sheet name="Mobile Keyboard and Browsers" sheetId="10" state="visible" r:id="rId10"/>
    <sheet name="End-to-End Business-Critical" sheetId="11" state="visible" r:id="rId11"/>
    <sheet name="Traceability to Functional Requ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B7E1CD"/>
        </patternFill>
      </fill>
    </dxf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'Traceability to Functional Requ'!$D$3:$D$6</f>
            </numRef>
          </cat>
          <val>
            <numRef>
              <f>'Traceability to Functional Requ'!$E$3:$E$6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6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2" customWidth="1" min="3" max="3"/>
  </cols>
  <sheetData>
    <row r="2">
      <c r="A2" s="1" t="inlineStr">
        <is>
          <t>Test Data / User Accounts</t>
        </is>
      </c>
    </row>
    <row r="3">
      <c r="A3" s="2" t="inlineStr">
        <is>
          <t>Test Data</t>
        </is>
      </c>
      <c r="B3" s="2" t="inlineStr">
        <is>
          <t>Description</t>
        </is>
      </c>
      <c r="C3" s="2" t="inlineStr">
        <is>
          <t>User ID</t>
        </is>
      </c>
    </row>
    <row r="4">
      <c r="A4" s="3" t="inlineStr">
        <is>
          <t>V1</t>
        </is>
      </c>
      <c r="B4" s="3" t="inlineStr">
        <is>
          <t>Anonymous visitor (not signed in)</t>
        </is>
      </c>
      <c r="C4" s="3" t="inlineStr">
        <is>
          <t>NA</t>
        </is>
      </c>
    </row>
    <row r="5">
      <c r="A5" s="3" t="inlineStr">
        <is>
          <t>U1</t>
        </is>
      </c>
      <c r="B5" s="3" t="inlineStr">
        <is>
          <t>Signed-in learner NOT enrolled (negative access cases)</t>
        </is>
      </c>
      <c r="C5" s="3" t="inlineStr">
        <is>
          <t>shivamnamdev.edu@gmail.com</t>
        </is>
      </c>
    </row>
    <row r="6">
      <c r="A6" s="3" t="inlineStr">
        <is>
          <t>S1</t>
        </is>
      </c>
      <c r="B6" s="3" t="inlineStr">
        <is>
          <t>Learner enrolled in Course B (Git lab course)</t>
        </is>
      </c>
      <c r="C6" s="3" t="inlineStr">
        <is>
          <t>financetrail.bazar@gmail.com</t>
        </is>
      </c>
    </row>
    <row r="7">
      <c r="A7" s="3" t="inlineStr">
        <is>
          <t>S2</t>
        </is>
      </c>
      <c r="B7" s="3" t="inlineStr">
        <is>
          <t>Learner enrolled in Course A (Python lab course)</t>
        </is>
      </c>
      <c r="C7" s="3" t="inlineStr">
        <is>
          <t>mavish.ps8@gmail.com</t>
        </is>
      </c>
    </row>
    <row r="8">
      <c r="A8" s="3" t="inlineStr">
        <is>
          <t>E1</t>
        </is>
      </c>
      <c r="B8" s="3" t="inlineStr">
        <is>
          <t>S2 with the final-exam state prepared through the service role (attempts used / passed), reset afterwards</t>
        </is>
      </c>
      <c r="C8" s="3" t="inlineStr">
        <is>
          <t>mavish.ps8@gmail.com</t>
        </is>
      </c>
    </row>
    <row r="9">
      <c r="A9" s="3" t="inlineStr">
        <is>
          <t>A1</t>
        </is>
      </c>
      <c r="B9" s="3" t="inlineStr">
        <is>
          <t>Admin user (bypasses locks, sees Share)</t>
        </is>
      </c>
      <c r="C9" s="3" t="inlineStr">
        <is>
          <t>shivamnamdev.corp@gmail.com</t>
        </is>
      </c>
    </row>
    <row r="10">
      <c r="A10" s="3" t="inlineStr">
        <is>
          <t>CA</t>
        </is>
      </c>
      <c r="B10" s="3" t="inlineStr">
        <is>
          <t>Course A: Python Beginners Batch 2 (python-beginners-batch-2), Python labs and the final exam</t>
        </is>
      </c>
      <c r="C10" s="3" t="inlineStr">
        <is>
          <t>/learning/python-beginners-batch-2</t>
        </is>
      </c>
    </row>
    <row r="11">
      <c r="A11" s="3" t="inlineStr">
        <is>
          <t>CB</t>
        </is>
      </c>
      <c r="B11" s="3" t="inlineStr">
        <is>
          <t>Course B: Git Beginner Live Session (git-beginner-batch-1), Git labs</t>
        </is>
      </c>
      <c r="C11" s="3" t="inlineStr">
        <is>
          <t>/learning/git-beginner-batch-1</t>
        </is>
      </c>
    </row>
    <row r="12">
      <c r="A12" s="3" t="inlineStr">
        <is>
          <t>LP</t>
        </is>
      </c>
      <c r="B12" s="3" t="inlineStr">
        <is>
          <t>A lesson that has a Python assignment (find it in the Course A sidebar: 'Pending Assignment')</t>
        </is>
      </c>
      <c r="C12" s="3" t="inlineStr">
        <is>
          <t>Course A</t>
        </is>
      </c>
    </row>
    <row r="13">
      <c r="A13" s="3" t="inlineStr">
        <is>
          <t>LG</t>
        </is>
      </c>
      <c r="B13" s="3" t="inlineStr">
        <is>
          <t>A lesson that has a Git assignment (Course B sidebar)</t>
        </is>
      </c>
      <c r="C13" s="3" t="inlineStr">
        <is>
          <t>Course B</t>
        </is>
      </c>
    </row>
    <row r="14">
      <c r="A14" s="3" t="inlineStr">
        <is>
          <t>LX</t>
        </is>
      </c>
      <c r="B14" s="3" t="inlineStr">
        <is>
          <t>The final exam lesson ('Final Exam' marker) and the advanced lessons it unlocks</t>
        </is>
      </c>
      <c r="C14" s="3" t="inlineStr">
        <is>
          <t>Course A</t>
        </is>
      </c>
    </row>
    <row r="16">
      <c r="A16" s="4" t="inlineStr">
        <is>
          <t>Notes</t>
        </is>
      </c>
      <c r="B16" s="3" t="inlineStr">
        <is>
          <t>External services: YouTube Data API, GitHub raw files, Pyodide CDN, Monaco. Where a case says 'blocked' the request is blocked with the browser's network tools. Clean up: remove progress, submission, exam, comment and like rows the case created. Expected failures are listed in the PRD risks (SCP-32, SCP-33, SCP-34, missing video_likes table).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LRN-LOAD-001</t>
        </is>
      </c>
      <c r="B2" s="3" t="inlineStr">
        <is>
          <t>Loading state</t>
        </is>
      </c>
      <c r="C2" s="3" t="inlineStr">
        <is>
          <t>S2; slow network</t>
        </is>
      </c>
      <c r="D2" s="3" t="inlineStr">
        <is>
          <t>1. Open /learning/python-beginners-batch-2</t>
        </is>
      </c>
      <c r="E2" s="3" t="inlineStr">
        <is>
          <t>'Loading your personalized curriculum…' with a spinner</t>
        </is>
      </c>
      <c r="F2" s="3" t="inlineStr">
        <is>
          <t>P1</t>
        </is>
      </c>
      <c r="G2" s="3" t="n"/>
      <c r="H2" s="3" t="inlineStr">
        <is>
          <t>LX-01</t>
        </is>
      </c>
      <c r="I2" s="3" t="inlineStr">
        <is>
          <t>No</t>
        </is>
      </c>
    </row>
    <row r="3">
      <c r="A3" s="3" t="inlineStr">
        <is>
          <t>LRN-LOAD-002</t>
        </is>
      </c>
      <c r="B3" s="3" t="inlineStr">
        <is>
          <t>Enrolled learner opens the course</t>
        </is>
      </c>
      <c r="C3" s="3" t="inlineStr">
        <is>
          <t>S2</t>
        </is>
      </c>
      <c r="D3" s="3" t="inlineStr">
        <is>
          <t>1. Open the course page</t>
        </is>
      </c>
      <c r="E3" s="3" t="inlineStr">
        <is>
          <t>Loading ends; header with Back link and progress; sidebar; first lesson active</t>
        </is>
      </c>
      <c r="F3" s="3" t="inlineStr">
        <is>
          <t>P0</t>
        </is>
      </c>
      <c r="G3" s="3" t="n"/>
      <c r="H3" s="3" t="inlineStr">
        <is>
          <t>LX-01</t>
        </is>
      </c>
      <c r="I3" s="3" t="inlineStr">
        <is>
          <t>AUTH-COURSE (tests/ui/auth/access-control.spec.ts) opens the page</t>
        </is>
      </c>
    </row>
    <row r="4">
      <c r="A4" s="3" t="inlineStr">
        <is>
          <t>LRN-LOAD-003</t>
        </is>
      </c>
      <c r="B4" s="3" t="inlineStr">
        <is>
          <t>Curriculum lists every module and lesson</t>
        </is>
      </c>
      <c r="C4" s="3" t="inlineStr">
        <is>
          <t>S2</t>
        </is>
      </c>
      <c r="D4" s="3" t="inlineStr">
        <is>
          <t>1. Compare the sidebar with the course playlist in data/courses.ts</t>
        </is>
      </c>
      <c r="E4" s="3" t="inlineStr">
        <is>
          <t>Same modules and lessons in the same order</t>
        </is>
      </c>
      <c r="F4" s="3" t="inlineStr">
        <is>
          <t>P0</t>
        </is>
      </c>
      <c r="G4" s="3" t="n"/>
      <c r="H4" s="3" t="inlineStr">
        <is>
          <t>LX-02</t>
        </is>
      </c>
      <c r="I4" s="3" t="inlineStr">
        <is>
          <t>No</t>
        </is>
      </c>
    </row>
    <row r="5">
      <c r="A5" s="3" t="inlineStr">
        <is>
          <t>LRN-LOAD-004</t>
        </is>
      </c>
      <c r="B5" s="3" t="inlineStr">
        <is>
          <t>First lesson is active on load</t>
        </is>
      </c>
      <c r="C5" s="3" t="inlineStr">
        <is>
          <t>LOAD-002</t>
        </is>
      </c>
      <c r="D5" s="3" t="inlineStr">
        <is>
          <t>1. Look at the title and the sidebar highlight</t>
        </is>
      </c>
      <c r="E5" s="3" t="inlineStr">
        <is>
          <t>First lesson title shown and highlighted</t>
        </is>
      </c>
      <c r="F5" s="3" t="inlineStr">
        <is>
          <t>P1</t>
        </is>
      </c>
      <c r="G5" s="3" t="n"/>
      <c r="H5" s="3" t="inlineStr">
        <is>
          <t>LX-03</t>
        </is>
      </c>
      <c r="I5" s="3" t="inlineStr">
        <is>
          <t>No</t>
        </is>
      </c>
    </row>
    <row r="6">
      <c r="A6" s="3" t="inlineStr">
        <is>
          <t>LRN-LOAD-005</t>
        </is>
      </c>
      <c r="B6" s="3" t="inlineStr">
        <is>
          <t>Selecting a lesson changes the content</t>
        </is>
      </c>
      <c r="C6" s="3" t="inlineStr">
        <is>
          <t>LOAD-002</t>
        </is>
      </c>
      <c r="D6" s="3" t="inlineStr">
        <is>
          <t>1. Click another lesson</t>
        </is>
      </c>
      <c r="E6" s="3" t="inlineStr">
        <is>
          <t>Title, video and description change; sidebar highlight moves</t>
        </is>
      </c>
      <c r="F6" s="3" t="inlineStr">
        <is>
          <t>P0</t>
        </is>
      </c>
      <c r="G6" s="3" t="n"/>
      <c r="H6" s="3" t="inlineStr">
        <is>
          <t>LX-04</t>
        </is>
      </c>
      <c r="I6" s="3" t="inlineStr">
        <is>
          <t>No</t>
        </is>
      </c>
    </row>
    <row r="7">
      <c r="A7" s="3" t="inlineStr">
        <is>
          <t>LRN-LOAD-006</t>
        </is>
      </c>
      <c r="B7" s="3" t="inlineStr">
        <is>
          <t>Lesson change resets tab, output and AI reply</t>
        </is>
      </c>
      <c r="C7" s="3" t="inlineStr">
        <is>
          <t>Python lesson with output and an AI reply</t>
        </is>
      </c>
      <c r="D7" s="3" t="inlineStr">
        <is>
          <t>1. Click another lesson</t>
        </is>
      </c>
      <c r="E7" s="3" t="inlineStr">
        <is>
          <t>Tab is Details; output and AI reply cleared; likes reset</t>
        </is>
      </c>
      <c r="F7" s="3" t="inlineStr">
        <is>
          <t>P1</t>
        </is>
      </c>
      <c r="G7" s="3" t="n"/>
      <c r="H7" s="3" t="inlineStr">
        <is>
          <t>LX-05</t>
        </is>
      </c>
      <c r="I7" s="3" t="inlineStr">
        <is>
          <t>No</t>
        </is>
      </c>
    </row>
    <row r="8">
      <c r="A8" s="3" t="inlineStr">
        <is>
          <t>LRN-LOAD-007</t>
        </is>
      </c>
      <c r="B8" s="3" t="inlineStr">
        <is>
          <t>Back link returns to the dashboard</t>
        </is>
      </c>
      <c r="C8" s="3" t="inlineStr">
        <is>
          <t>LOAD-002</t>
        </is>
      </c>
      <c r="D8" s="3" t="inlineStr">
        <is>
          <t>1. Click Back</t>
        </is>
      </c>
      <c r="E8" s="3" t="inlineStr">
        <is>
          <t>/learning opens</t>
        </is>
      </c>
      <c r="F8" s="3" t="inlineStr">
        <is>
          <t>P1</t>
        </is>
      </c>
      <c r="G8" s="3" t="n"/>
      <c r="H8" s="3" t="inlineStr">
        <is>
          <t>LX-10</t>
        </is>
      </c>
      <c r="I8" s="3" t="inlineStr">
        <is>
          <t>No</t>
        </is>
      </c>
    </row>
    <row r="9">
      <c r="A9" s="3" t="inlineStr">
        <is>
          <t>LRN-LOAD-008</t>
        </is>
      </c>
      <c r="B9" s="3" t="inlineStr">
        <is>
          <t>Sidebar marks</t>
        </is>
      </c>
      <c r="C9" s="3" t="inlineStr">
        <is>
          <t>S2 with one completed video and one submitted assignment</t>
        </is>
      </c>
      <c r="D9" s="3" t="inlineStr">
        <is>
          <t>1. Read the sidebar</t>
        </is>
      </c>
      <c r="E9" s="3" t="inlineStr">
        <is>
          <t>Completed video marked; assignment shows 'Assignment Submitted'; others 'Pending Assignment'; exam shows 'Final Exam'</t>
        </is>
      </c>
      <c r="F9" s="3" t="inlineStr">
        <is>
          <t>P1</t>
        </is>
      </c>
      <c r="G9" s="3" t="n"/>
      <c r="H9" s="3" t="inlineStr">
        <is>
          <t>LX-02/09</t>
        </is>
      </c>
      <c r="I9" s="3" t="inlineStr">
        <is>
          <t>No</t>
        </is>
      </c>
    </row>
    <row r="10">
      <c r="A10" s="3" t="inlineStr">
        <is>
          <t>LRN-LOAD-009</t>
        </is>
      </c>
      <c r="B10" s="3" t="inlineStr">
        <is>
          <t>Progress percentage</t>
        </is>
      </c>
      <c r="C10" s="3" t="inlineStr">
        <is>
          <t>Known counts of videos/assignments done</t>
        </is>
      </c>
      <c r="D10" s="3" t="inlineStr">
        <is>
          <t>1. Read the header percentage</t>
        </is>
      </c>
      <c r="E10" s="3" t="inlineStr">
        <is>
          <t>Equals (completed videos + submitted assignments) / (videos + assignments), rounded</t>
        </is>
      </c>
      <c r="F10" s="3" t="inlineStr">
        <is>
          <t>P1</t>
        </is>
      </c>
      <c r="G10" s="3" t="n"/>
      <c r="H10" s="3" t="inlineStr">
        <is>
          <t>LX-09</t>
        </is>
      </c>
      <c r="I10" s="3" t="inlineStr">
        <is>
          <t>No</t>
        </is>
      </c>
    </row>
    <row r="11">
      <c r="A11" s="3" t="inlineStr">
        <is>
          <t>LRN-LOAD-010</t>
        </is>
      </c>
      <c r="B11" s="3" t="inlineStr">
        <is>
          <t>Non-enrolled learner is denied</t>
        </is>
      </c>
      <c r="C11" s="3" t="inlineStr">
        <is>
          <t>U1</t>
        </is>
      </c>
      <c r="D11" s="3" t="inlineStr">
        <is>
          <t>1. Open the course page</t>
        </is>
      </c>
      <c r="E11" s="3" t="inlineStr">
        <is>
          <t>Redirect or Access Denied; no lessons</t>
        </is>
      </c>
      <c r="F11" s="3" t="inlineStr">
        <is>
          <t>P0</t>
        </is>
      </c>
      <c r="G11" s="3" t="n"/>
      <c r="H11" s="3" t="inlineStr">
        <is>
          <t>LX-01</t>
        </is>
      </c>
      <c r="I11" s="3" t="inlineStr">
        <is>
          <t>AUTH-ENR (access-control.spec.ts)</t>
        </is>
      </c>
    </row>
    <row r="12">
      <c r="A12" s="3" t="inlineStr">
        <is>
          <t>LRN-LOAD-011</t>
        </is>
      </c>
      <c r="B12" s="3" t="inlineStr">
        <is>
          <t>Visitor is sent to sign-in</t>
        </is>
      </c>
      <c r="C12" s="3" t="inlineStr">
        <is>
          <t>V1</t>
        </is>
      </c>
      <c r="D12" s="3" t="inlineStr">
        <is>
          <t>1. Open the course page</t>
        </is>
      </c>
      <c r="E12" s="3" t="inlineStr">
        <is>
          <t>Sign-in or home; no lessons</t>
        </is>
      </c>
      <c r="F12" s="3" t="inlineStr">
        <is>
          <t>P0</t>
        </is>
      </c>
      <c r="G12" s="3" t="n"/>
      <c r="H12" s="3" t="inlineStr">
        <is>
          <t>LX-01</t>
        </is>
      </c>
      <c r="I12" s="3" t="inlineStr">
        <is>
          <t>route-protection.spec.ts</t>
        </is>
      </c>
    </row>
    <row r="13">
      <c r="A13" s="3" t="inlineStr">
        <is>
          <t>LRN-LOAD-012</t>
        </is>
      </c>
      <c r="B13" s="3" t="inlineStr">
        <is>
          <t>No console errors during a 5-lesson walk-through</t>
        </is>
      </c>
      <c r="C13" s="3" t="inlineStr">
        <is>
          <t>S2; console open</t>
        </is>
      </c>
      <c r="D13" s="3" t="inlineStr">
        <is>
          <t>1. Open five different lessons</t>
        </is>
      </c>
      <c r="E13" s="3" t="inlineStr">
        <is>
          <t>No uncaught exceptions</t>
        </is>
      </c>
      <c r="F13" s="3" t="inlineStr">
        <is>
          <t>P1</t>
        </is>
      </c>
      <c r="G13" s="3" t="n"/>
      <c r="H13" s="3" t="inlineStr">
        <is>
          <t>LX-60</t>
        </is>
      </c>
      <c r="I13" s="3" t="inlineStr">
        <is>
          <t>No</t>
        </is>
      </c>
    </row>
    <row r="14">
      <c r="F14" s="4" t="inlineStr">
        <is>
          <t>Coverage</t>
        </is>
      </c>
      <c r="G14" s="6">
        <f>IF(COUNTA(A2:A13)=0,0,(COUNTIF(G2:G13,"Passed")+COUNTIF(G2:G13,"Failed")+COUNTIF(G2:G13,"NA"))/COUNTA(A2:A13))</f>
        <v/>
      </c>
    </row>
  </sheetData>
  <conditionalFormatting sqref="G2:G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3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LRN-PLY-001</t>
        </is>
      </c>
      <c r="B2" s="3" t="inlineStr">
        <is>
          <t>Video lesson shows the player and title</t>
        </is>
      </c>
      <c r="C2" s="3" t="inlineStr">
        <is>
          <t>S2</t>
        </is>
      </c>
      <c r="D2" s="3" t="inlineStr">
        <is>
          <t>1. Open a video lesson</t>
        </is>
      </c>
      <c r="E2" s="3" t="inlineStr">
        <is>
          <t>YouTube player visible; title; 'Instructor: Shivam Namdev'</t>
        </is>
      </c>
      <c r="F2" s="3" t="inlineStr">
        <is>
          <t>P0</t>
        </is>
      </c>
      <c r="G2" s="3" t="n"/>
      <c r="H2" s="3" t="inlineStr">
        <is>
          <t>LX-04</t>
        </is>
      </c>
      <c r="I2" s="3" t="inlineStr">
        <is>
          <t>No</t>
        </is>
      </c>
    </row>
    <row r="3">
      <c r="A3" s="3" t="inlineStr">
        <is>
          <t>LRN-PLY-002</t>
        </is>
      </c>
      <c r="B3" s="3" t="inlineStr">
        <is>
          <t>Mark Complete</t>
        </is>
      </c>
      <c r="C3" s="3" t="inlineStr">
        <is>
          <t>S2; lesson not completed</t>
        </is>
      </c>
      <c r="D3" s="3" t="inlineStr">
        <is>
          <t>1. Click Mark Complete</t>
        </is>
      </c>
      <c r="E3" s="3" t="inlineStr">
        <is>
          <t>Button changes to disabled 'Video Watched'; progress percentage rises</t>
        </is>
      </c>
      <c r="F3" s="3" t="inlineStr">
        <is>
          <t>P0</t>
        </is>
      </c>
      <c r="G3" s="3" t="n"/>
      <c r="H3" s="3" t="inlineStr">
        <is>
          <t>LX-06</t>
        </is>
      </c>
      <c r="I3" s="3" t="inlineStr">
        <is>
          <t>No</t>
        </is>
      </c>
    </row>
    <row r="4">
      <c r="A4" s="3" t="inlineStr">
        <is>
          <t>LRN-PLY-003</t>
        </is>
      </c>
      <c r="B4" s="3" t="inlineStr">
        <is>
          <t>Progress row is saved</t>
        </is>
      </c>
      <c r="C4" s="3" t="inlineStr">
        <is>
          <t>PLY-002</t>
        </is>
      </c>
      <c r="D4" s="3" t="inlineStr">
        <is>
          <t>1. Read video_progress for S2</t>
        </is>
      </c>
      <c r="E4" s="3" t="inlineStr">
        <is>
          <t>One row for the lesson and course</t>
        </is>
      </c>
      <c r="F4" s="3" t="inlineStr">
        <is>
          <t>P0</t>
        </is>
      </c>
      <c r="G4" s="3" t="n"/>
      <c r="H4" s="3" t="inlineStr">
        <is>
          <t>LX-06</t>
        </is>
      </c>
      <c r="I4" s="3" t="inlineStr">
        <is>
          <t>No</t>
        </is>
      </c>
    </row>
    <row r="5">
      <c r="A5" s="3" t="inlineStr">
        <is>
          <t>LRN-PLY-004</t>
        </is>
      </c>
      <c r="B5" s="3" t="inlineStr">
        <is>
          <t>Completion survives a reload</t>
        </is>
      </c>
      <c r="C5" s="3" t="inlineStr">
        <is>
          <t>PLY-002</t>
        </is>
      </c>
      <c r="D5" s="3" t="inlineStr">
        <is>
          <t>1. Reload</t>
        </is>
      </c>
      <c r="E5" s="3" t="inlineStr">
        <is>
          <t>Still 'Video Watched'; same percentage</t>
        </is>
      </c>
      <c r="F5" s="3" t="inlineStr">
        <is>
          <t>P0</t>
        </is>
      </c>
      <c r="G5" s="3" t="n"/>
      <c r="H5" s="3" t="inlineStr">
        <is>
          <t>LX-07</t>
        </is>
      </c>
      <c r="I5" s="3" t="inlineStr">
        <is>
          <t>No</t>
        </is>
      </c>
    </row>
    <row r="6">
      <c r="A6" s="3" t="inlineStr">
        <is>
          <t>LRN-PLY-005</t>
        </is>
      </c>
      <c r="B6" s="3" t="inlineStr">
        <is>
          <t>Double click on Mark Complete saves once</t>
        </is>
      </c>
      <c r="C6" s="3" t="inlineStr">
        <is>
          <t>S2</t>
        </is>
      </c>
      <c r="D6" s="3" t="inlineStr">
        <is>
          <t>1. Double-click</t>
        </is>
      </c>
      <c r="E6" s="3" t="inlineStr">
        <is>
          <t>One row only</t>
        </is>
      </c>
      <c r="F6" s="3" t="inlineStr">
        <is>
          <t>P1</t>
        </is>
      </c>
      <c r="G6" s="3" t="n"/>
      <c r="H6" s="3" t="inlineStr">
        <is>
          <t>LX-06</t>
        </is>
      </c>
      <c r="I6" s="3" t="inlineStr">
        <is>
          <t>No</t>
        </is>
      </c>
    </row>
    <row r="7">
      <c r="A7" s="3" t="inlineStr">
        <is>
          <t>LRN-PLY-006</t>
        </is>
      </c>
      <c r="B7" s="3" t="inlineStr">
        <is>
          <t>Document lesson wording</t>
        </is>
      </c>
      <c r="C7" s="3" t="inlineStr">
        <is>
          <t>S2; document lesson</t>
        </is>
      </c>
      <c r="D7" s="3" t="inlineStr">
        <is>
          <t>1. Open it</t>
        </is>
      </c>
      <c r="E7" s="3" t="inlineStr">
        <is>
          <t>Button says 'Mark as Read', then 'Read Complete'</t>
        </is>
      </c>
      <c r="F7" s="3" t="inlineStr">
        <is>
          <t>P1</t>
        </is>
      </c>
      <c r="G7" s="3" t="n"/>
      <c r="H7" s="3" t="inlineStr">
        <is>
          <t>LX-08</t>
        </is>
      </c>
      <c r="I7" s="3" t="inlineStr">
        <is>
          <t>No</t>
        </is>
      </c>
    </row>
    <row r="8">
      <c r="A8" s="3" t="inlineStr">
        <is>
          <t>LRN-PLY-007</t>
        </is>
      </c>
      <c r="B8" s="3" t="inlineStr">
        <is>
          <t>Share button for a learner</t>
        </is>
      </c>
      <c r="C8" s="3" t="inlineStr">
        <is>
          <t>S2</t>
        </is>
      </c>
      <c r="D8" s="3" t="inlineStr">
        <is>
          <t>1. Look for Share</t>
        </is>
      </c>
      <c r="E8" s="3" t="inlineStr">
        <is>
          <t>Not shown</t>
        </is>
      </c>
      <c r="F8" s="3" t="inlineStr">
        <is>
          <t>P1</t>
        </is>
      </c>
      <c r="G8" s="3" t="n"/>
      <c r="H8" s="3" t="inlineStr">
        <is>
          <t>LX-51</t>
        </is>
      </c>
      <c r="I8" s="3" t="inlineStr">
        <is>
          <t>No</t>
        </is>
      </c>
    </row>
    <row r="9">
      <c r="A9" s="3" t="inlineStr">
        <is>
          <t>LRN-PLY-008</t>
        </is>
      </c>
      <c r="B9" s="3" t="inlineStr">
        <is>
          <t>Share button for the admin</t>
        </is>
      </c>
      <c r="C9" s="3" t="inlineStr">
        <is>
          <t>A1</t>
        </is>
      </c>
      <c r="D9" s="3" t="inlineStr">
        <is>
          <t>1. Open a video lesson</t>
        </is>
      </c>
      <c r="E9" s="3" t="inlineStr">
        <is>
          <t>Share is shown (not for document lessons) and copies a /share/&lt;id&gt; link</t>
        </is>
      </c>
      <c r="F9" s="3" t="inlineStr">
        <is>
          <t>P1</t>
        </is>
      </c>
      <c r="G9" s="3" t="n"/>
      <c r="H9" s="3" t="inlineStr">
        <is>
          <t>LX-51</t>
        </is>
      </c>
      <c r="I9" s="3" t="inlineStr">
        <is>
          <t>No</t>
        </is>
      </c>
    </row>
    <row r="10">
      <c r="A10" s="3" t="inlineStr">
        <is>
          <t>LRN-PLY-009</t>
        </is>
      </c>
      <c r="B10" s="3" t="inlineStr">
        <is>
          <t>XP sync after completion</t>
        </is>
      </c>
      <c r="C10" s="3" t="inlineStr">
        <is>
          <t>PLY-002; network log</t>
        </is>
      </c>
      <c r="D10" s="3" t="inlineStr">
        <is>
          <t>1. Inspect requests</t>
        </is>
      </c>
      <c r="E10" s="3" t="inlineStr">
        <is>
          <t>POST /api/xp/sync is sent</t>
        </is>
      </c>
      <c r="F10" s="3" t="inlineStr">
        <is>
          <t>P2</t>
        </is>
      </c>
      <c r="G10" s="3" t="n"/>
      <c r="H10" s="3" t="inlineStr">
        <is>
          <t>LX-06</t>
        </is>
      </c>
      <c r="I10" s="3" t="inlineStr">
        <is>
          <t>No</t>
        </is>
      </c>
    </row>
    <row r="11">
      <c r="A11" s="3" t="inlineStr">
        <is>
          <t>LRN-PLY-010</t>
        </is>
      </c>
      <c r="B11" s="3" t="inlineStr">
        <is>
          <t>Progress save fails</t>
        </is>
      </c>
      <c r="C11" s="3" t="inlineStr">
        <is>
          <t>video_progress insert forced to fail</t>
        </is>
      </c>
      <c r="D11" s="3" t="inlineStr">
        <is>
          <t>1. Click Mark Complete</t>
        </is>
      </c>
      <c r="E11" s="3" t="inlineStr">
        <is>
          <t>Message shown; button usable again; no false 'Video Watched'</t>
        </is>
      </c>
      <c r="F11" s="3" t="inlineStr">
        <is>
          <t>P1</t>
        </is>
      </c>
      <c r="G11" s="3" t="n"/>
      <c r="H11" s="3" t="inlineStr">
        <is>
          <t>LX-55</t>
        </is>
      </c>
      <c r="I11" s="3" t="inlineStr">
        <is>
          <t>No</t>
        </is>
      </c>
    </row>
    <row r="12">
      <c r="F12" s="4" t="inlineStr">
        <is>
          <t>Coverage</t>
        </is>
      </c>
      <c r="G12" s="6">
        <f>IF(COUNTA(A2:A11)=0,0,(COUNTIF(G2:G11,"Passed")+COUNTIF(G2:G11,"Failed")+COUNTIF(G2:G11,"NA"))/COUNTA(A2:A11))</f>
        <v/>
      </c>
    </row>
  </sheetData>
  <conditionalFormatting sqref="G2:G1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1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LRN-TAB-001</t>
        </is>
      </c>
      <c r="B2" s="3" t="inlineStr">
        <is>
          <t>Plain lesson has Details and Q&amp;A only</t>
        </is>
      </c>
      <c r="C2" s="3" t="inlineStr">
        <is>
          <t>S2; lesson without assignment or attachments</t>
        </is>
      </c>
      <c r="D2" s="3" t="inlineStr">
        <is>
          <t>1. Look at the tabs</t>
        </is>
      </c>
      <c r="E2" s="3" t="inlineStr">
        <is>
          <t>Details, Q&amp;A</t>
        </is>
      </c>
      <c r="F2" s="3" t="inlineStr">
        <is>
          <t>P0</t>
        </is>
      </c>
      <c r="G2" s="3" t="n"/>
      <c r="H2" s="3" t="inlineStr">
        <is>
          <t>LX-11</t>
        </is>
      </c>
      <c r="I2" s="3" t="inlineStr">
        <is>
          <t>No</t>
        </is>
      </c>
    </row>
    <row r="3">
      <c r="A3" s="3" t="inlineStr">
        <is>
          <t>LRN-TAB-002</t>
        </is>
      </c>
      <c r="B3" s="3" t="inlineStr">
        <is>
          <t>Lab lesson adds Practice and Visualize</t>
        </is>
      </c>
      <c r="C3" s="3" t="inlineStr">
        <is>
          <t>S2; lesson with assignment</t>
        </is>
      </c>
      <c r="D3" s="3" t="inlineStr">
        <is>
          <t>1. Look at the tabs</t>
        </is>
      </c>
      <c r="E3" s="3" t="inlineStr">
        <is>
          <t>Details, Q&amp;A, Practice, Visualize</t>
        </is>
      </c>
      <c r="F3" s="3" t="inlineStr">
        <is>
          <t>P0</t>
        </is>
      </c>
      <c r="G3" s="3" t="n"/>
      <c r="H3" s="3" t="inlineStr">
        <is>
          <t>LX-11</t>
        </is>
      </c>
      <c r="I3" s="3" t="inlineStr">
        <is>
          <t>No</t>
        </is>
      </c>
    </row>
    <row r="4">
      <c r="A4" s="3" t="inlineStr">
        <is>
          <t>LRN-TAB-003</t>
        </is>
      </c>
      <c r="B4" s="3" t="inlineStr">
        <is>
          <t>Git lesson names the graph tab</t>
        </is>
      </c>
      <c r="C4" s="3" t="inlineStr">
        <is>
          <t>S1; Git lesson</t>
        </is>
      </c>
      <c r="D4" s="3" t="inlineStr">
        <is>
          <t>1. Look at the tabs</t>
        </is>
      </c>
      <c r="E4" s="3" t="inlineStr">
        <is>
          <t>'Git Graph' instead of 'Visualize'</t>
        </is>
      </c>
      <c r="F4" s="3" t="inlineStr">
        <is>
          <t>P1</t>
        </is>
      </c>
      <c r="G4" s="3" t="n"/>
      <c r="H4" s="3" t="inlineStr">
        <is>
          <t>LX-11</t>
        </is>
      </c>
      <c r="I4" s="3" t="inlineStr">
        <is>
          <t>No</t>
        </is>
      </c>
    </row>
    <row r="5">
      <c r="A5" s="3" t="inlineStr">
        <is>
          <t>LRN-TAB-004</t>
        </is>
      </c>
      <c r="B5" s="3" t="inlineStr">
        <is>
          <t>Exam lesson has no Visualize</t>
        </is>
      </c>
      <c r="C5" s="3" t="inlineStr">
        <is>
          <t>E1; final exam lesson</t>
        </is>
      </c>
      <c r="D5" s="3" t="inlineStr">
        <is>
          <t>1. Look at the tabs</t>
        </is>
      </c>
      <c r="E5" s="3" t="inlineStr">
        <is>
          <t>Practice present; Visualize absent</t>
        </is>
      </c>
      <c r="F5" s="3" t="inlineStr">
        <is>
          <t>P1</t>
        </is>
      </c>
      <c r="G5" s="3" t="n"/>
      <c r="H5" s="3" t="inlineStr">
        <is>
          <t>LX-41</t>
        </is>
      </c>
      <c r="I5" s="3" t="inlineStr">
        <is>
          <t>No</t>
        </is>
      </c>
    </row>
    <row r="6">
      <c r="A6" s="3" t="inlineStr">
        <is>
          <t>LRN-TAB-005</t>
        </is>
      </c>
      <c r="B6" s="3" t="inlineStr">
        <is>
          <t>Materials tab only with attachments</t>
        </is>
      </c>
      <c r="C6" s="3" t="inlineStr">
        <is>
          <t>Lesson with attachments</t>
        </is>
      </c>
      <c r="D6" s="3" t="inlineStr">
        <is>
          <t>1. Open the lesson</t>
        </is>
      </c>
      <c r="E6" s="3" t="inlineStr">
        <is>
          <t>Materials tab present; absent on lessons without attachments</t>
        </is>
      </c>
      <c r="F6" s="3" t="inlineStr">
        <is>
          <t>P1</t>
        </is>
      </c>
      <c r="G6" s="3" t="n"/>
      <c r="H6" s="3" t="inlineStr">
        <is>
          <t>LX-11</t>
        </is>
      </c>
      <c r="I6" s="3" t="inlineStr">
        <is>
          <t>No</t>
        </is>
      </c>
    </row>
    <row r="7">
      <c r="A7" s="3" t="inlineStr">
        <is>
          <t>LRN-TAB-006</t>
        </is>
      </c>
      <c r="B7" s="3" t="inlineStr">
        <is>
          <t>Materials links open</t>
        </is>
      </c>
      <c r="C7" s="3" t="inlineStr">
        <is>
          <t>TAB-005</t>
        </is>
      </c>
      <c r="D7" s="3" t="inlineStr">
        <is>
          <t>1. Click a material</t>
        </is>
      </c>
      <c r="E7" s="3" t="inlineStr">
        <is>
          <t>File or page opens in a new tab / downloads</t>
        </is>
      </c>
      <c r="F7" s="3" t="inlineStr">
        <is>
          <t>P2</t>
        </is>
      </c>
      <c r="G7" s="3" t="n"/>
      <c r="H7" s="3" t="inlineStr">
        <is>
          <t>LX-13</t>
        </is>
      </c>
      <c r="I7" s="3" t="inlineStr">
        <is>
          <t>No</t>
        </is>
      </c>
    </row>
    <row r="8">
      <c r="A8" s="3" t="inlineStr">
        <is>
          <t>LRN-TAB-007</t>
        </is>
      </c>
      <c r="B8" s="3" t="inlineStr">
        <is>
          <t>Details shows the description</t>
        </is>
      </c>
      <c r="C8" s="3" t="inlineStr">
        <is>
          <t>S2</t>
        </is>
      </c>
      <c r="D8" s="3" t="inlineStr">
        <is>
          <t>1. Open Details</t>
        </is>
      </c>
      <c r="E8" s="3" t="inlineStr">
        <is>
          <t>Lesson description text</t>
        </is>
      </c>
      <c r="F8" s="3" t="inlineStr">
        <is>
          <t>P1</t>
        </is>
      </c>
      <c r="G8" s="3" t="n"/>
      <c r="H8" s="3" t="inlineStr">
        <is>
          <t>LX-12</t>
        </is>
      </c>
      <c r="I8" s="3" t="inlineStr">
        <is>
          <t>No</t>
        </is>
      </c>
    </row>
    <row r="9">
      <c r="A9" s="3" t="inlineStr">
        <is>
          <t>LRN-TAB-008</t>
        </is>
      </c>
      <c r="B9" s="3" t="inlineStr">
        <is>
          <t>Post a comment</t>
        </is>
      </c>
      <c r="C9" s="3" t="inlineStr">
        <is>
          <t>S2 on Q&amp;A</t>
        </is>
      </c>
      <c r="D9" s="3" t="inlineStr">
        <is>
          <t>1. Type 'QA comment' 2. Post</t>
        </is>
      </c>
      <c r="E9" s="3" t="inlineStr">
        <is>
          <t>Comment appears at the top with name and time; row saved</t>
        </is>
      </c>
      <c r="F9" s="3" t="inlineStr">
        <is>
          <t>P1</t>
        </is>
      </c>
      <c r="G9" s="3" t="n"/>
      <c r="H9" s="3" t="inlineStr">
        <is>
          <t>LX-14</t>
        </is>
      </c>
      <c r="I9" s="3" t="inlineStr">
        <is>
          <t>No</t>
        </is>
      </c>
    </row>
    <row r="10">
      <c r="A10" s="3" t="inlineStr">
        <is>
          <t>LRN-TAB-009</t>
        </is>
      </c>
      <c r="B10" s="3" t="inlineStr">
        <is>
          <t>Empty comment is refused</t>
        </is>
      </c>
      <c r="C10" s="3" t="inlineStr">
        <is>
          <t>S2</t>
        </is>
      </c>
      <c r="D10" s="3" t="inlineStr">
        <is>
          <t>1. Post with empty text</t>
        </is>
      </c>
      <c r="E10" s="3" t="inlineStr">
        <is>
          <t>Nothing posted</t>
        </is>
      </c>
      <c r="F10" s="3" t="inlineStr">
        <is>
          <t>P1</t>
        </is>
      </c>
      <c r="G10" s="3" t="n"/>
      <c r="H10" s="3" t="inlineStr">
        <is>
          <t>LX-15</t>
        </is>
      </c>
      <c r="I10" s="3" t="inlineStr">
        <is>
          <t>No</t>
        </is>
      </c>
    </row>
    <row r="11">
      <c r="A11" s="3" t="inlineStr">
        <is>
          <t>LRN-TAB-010</t>
        </is>
      </c>
      <c r="B11" s="3" t="inlineStr">
        <is>
          <t>Comment order</t>
        </is>
      </c>
      <c r="C11" s="3" t="inlineStr">
        <is>
          <t>Two comments</t>
        </is>
      </c>
      <c r="D11" s="3" t="inlineStr">
        <is>
          <t>1. Read the list</t>
        </is>
      </c>
      <c r="E11" s="3" t="inlineStr">
        <is>
          <t>Newest first</t>
        </is>
      </c>
      <c r="F11" s="3" t="inlineStr">
        <is>
          <t>P2</t>
        </is>
      </c>
      <c r="G11" s="3" t="n"/>
      <c r="H11" s="3" t="inlineStr">
        <is>
          <t>LX-14</t>
        </is>
      </c>
      <c r="I11" s="3" t="inlineStr">
        <is>
          <t>No</t>
        </is>
      </c>
    </row>
    <row r="12">
      <c r="A12" s="3" t="inlineStr">
        <is>
          <t>LRN-TAB-011</t>
        </is>
      </c>
      <c r="B12" s="3" t="inlineStr">
        <is>
          <t>Like the lesson</t>
        </is>
      </c>
      <c r="C12" s="3" t="inlineStr">
        <is>
          <t>S2</t>
        </is>
      </c>
      <c r="D12" s="3" t="inlineStr">
        <is>
          <t>1. Click the like</t>
        </is>
      </c>
      <c r="E12" s="3" t="inlineStr">
        <is>
          <t>Count +1 and highlighted; second click removes it (known gap: video_likes table missing)</t>
        </is>
      </c>
      <c r="F12" s="3" t="inlineStr">
        <is>
          <t>P1</t>
        </is>
      </c>
      <c r="G12" s="3" t="n"/>
      <c r="H12" s="3" t="inlineStr">
        <is>
          <t>LX-16</t>
        </is>
      </c>
      <c r="I12" s="3" t="inlineStr">
        <is>
          <t>No</t>
        </is>
      </c>
    </row>
    <row r="13">
      <c r="A13" s="3" t="inlineStr">
        <is>
          <t>LRN-TAB-012</t>
        </is>
      </c>
      <c r="B13" s="3" t="inlineStr">
        <is>
          <t>Comments are per lesson</t>
        </is>
      </c>
      <c r="C13" s="3" t="inlineStr">
        <is>
          <t>Comment on lesson 1</t>
        </is>
      </c>
      <c r="D13" s="3" t="inlineStr">
        <is>
          <t>1. Open lesson 2 Q&amp;A</t>
        </is>
      </c>
      <c r="E13" s="3" t="inlineStr">
        <is>
          <t>Comment not shown</t>
        </is>
      </c>
      <c r="F13" s="3" t="inlineStr">
        <is>
          <t>P1</t>
        </is>
      </c>
      <c r="G13" s="3" t="n"/>
      <c r="H13" s="3" t="inlineStr">
        <is>
          <t>LX-14</t>
        </is>
      </c>
      <c r="I13" s="3" t="inlineStr">
        <is>
          <t>No</t>
        </is>
      </c>
    </row>
    <row r="14">
      <c r="F14" s="4" t="inlineStr">
        <is>
          <t>Coverage</t>
        </is>
      </c>
      <c r="G14" s="6">
        <f>IF(COUNTA(A2:A13)=0,0,(COUNTIF(G2:G13,"Passed")+COUNTIF(G2:G13,"Failed")+COUNTIF(G2:G13,"NA"))/COUNTA(A2:A13))</f>
        <v/>
      </c>
    </row>
  </sheetData>
  <conditionalFormatting sqref="G2:G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3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LRN-PY-001</t>
        </is>
      </c>
      <c r="B2" s="3" t="inlineStr">
        <is>
          <t>Workspace and instructions load</t>
        </is>
      </c>
      <c r="C2" s="3" t="inlineStr">
        <is>
          <t>S2; LP lesson</t>
        </is>
      </c>
      <c r="D2" s="3" t="inlineStr">
        <is>
          <t>1. Open Practice</t>
        </is>
      </c>
      <c r="E2" s="3" t="inlineStr">
        <is>
          <t>Instructions/steps shown; editor with main.py ready</t>
        </is>
      </c>
      <c r="F2" s="3" t="inlineStr">
        <is>
          <t>P0</t>
        </is>
      </c>
      <c r="G2" s="3" t="n"/>
      <c r="H2" s="3" t="inlineStr">
        <is>
          <t>LX-17</t>
        </is>
      </c>
      <c r="I2" s="3" t="inlineStr">
        <is>
          <t>No</t>
        </is>
      </c>
    </row>
    <row r="3">
      <c r="A3" s="3" t="inlineStr">
        <is>
          <t>LRN-PY-002</t>
        </is>
      </c>
      <c r="B3" s="3" t="inlineStr">
        <is>
          <t>Run prints the output</t>
        </is>
      </c>
      <c r="C3" s="3" t="inlineStr">
        <is>
          <t>PY-001 with print('hello')</t>
        </is>
      </c>
      <c r="D3" s="3" t="inlineStr">
        <is>
          <t>1. Click Run</t>
        </is>
      </c>
      <c r="E3" s="3" t="inlineStr">
        <is>
          <t>Output 'hello'</t>
        </is>
      </c>
      <c r="F3" s="3" t="inlineStr">
        <is>
          <t>P0</t>
        </is>
      </c>
      <c r="G3" s="3" t="n"/>
      <c r="H3" s="3" t="inlineStr">
        <is>
          <t>LX-18</t>
        </is>
      </c>
      <c r="I3" s="3" t="inlineStr">
        <is>
          <t>No</t>
        </is>
      </c>
    </row>
    <row r="4">
      <c r="A4" s="3" t="inlineStr">
        <is>
          <t>LRN-PY-003</t>
        </is>
      </c>
      <c r="B4" s="3" t="inlineStr">
        <is>
          <t>Runtime error is readable</t>
        </is>
      </c>
      <c r="C4" s="3" t="inlineStr">
        <is>
          <t>code with 1/0</t>
        </is>
      </c>
      <c r="D4" s="3" t="inlineStr">
        <is>
          <t>1. Run</t>
        </is>
      </c>
      <c r="E4" s="3" t="inlineStr">
        <is>
          <t>Error text with the exception name and line</t>
        </is>
      </c>
      <c r="F4" s="3" t="inlineStr">
        <is>
          <t>P0</t>
        </is>
      </c>
      <c r="G4" s="3" t="n"/>
      <c r="H4" s="3" t="inlineStr">
        <is>
          <t>LX-19</t>
        </is>
      </c>
      <c r="I4" s="3" t="inlineStr">
        <is>
          <t>No</t>
        </is>
      </c>
    </row>
    <row r="5">
      <c r="A5" s="3" t="inlineStr">
        <is>
          <t>LRN-PY-004</t>
        </is>
      </c>
      <c r="B5" s="3" t="inlineStr">
        <is>
          <t>Syntax error is readable</t>
        </is>
      </c>
      <c r="C5" s="3" t="inlineStr">
        <is>
          <t>code 'def x('</t>
        </is>
      </c>
      <c r="D5" s="3" t="inlineStr">
        <is>
          <t>1. Run</t>
        </is>
      </c>
      <c r="E5" s="3" t="inlineStr">
        <is>
          <t>SyntaxError shown; page responsive</t>
        </is>
      </c>
      <c r="F5" s="3" t="inlineStr">
        <is>
          <t>P1</t>
        </is>
      </c>
      <c r="G5" s="3" t="n"/>
      <c r="H5" s="3" t="inlineStr">
        <is>
          <t>LX-19</t>
        </is>
      </c>
      <c r="I5" s="3" t="inlineStr">
        <is>
          <t>No</t>
        </is>
      </c>
    </row>
    <row r="6">
      <c r="A6" s="3" t="inlineStr">
        <is>
          <t>LRN-PY-005</t>
        </is>
      </c>
      <c r="B6" s="3" t="inlineStr">
        <is>
          <t>Infinite loop does not freeze the page</t>
        </is>
      </c>
      <c r="C6" s="3" t="inlineStr">
        <is>
          <t>code 'while True: pass'</t>
        </is>
      </c>
      <c r="D6" s="3" t="inlineStr">
        <is>
          <t>1. Run 2. Try another tab</t>
        </is>
      </c>
      <c r="E6" s="3" t="inlineStr">
        <is>
          <t>Page stays usable, or a clear way to stop; no permanent freeze (note behaviour)</t>
        </is>
      </c>
      <c r="F6" s="3" t="inlineStr">
        <is>
          <t>P1</t>
        </is>
      </c>
      <c r="G6" s="3" t="n"/>
      <c r="H6" s="3" t="inlineStr">
        <is>
          <t>LX-20</t>
        </is>
      </c>
      <c r="I6" s="3" t="inlineStr">
        <is>
          <t>No</t>
        </is>
      </c>
    </row>
    <row r="7">
      <c r="A7" s="3" t="inlineStr">
        <is>
          <t>LRN-PY-006</t>
        </is>
      </c>
      <c r="B7" s="3" t="inlineStr">
        <is>
          <t>Add a file</t>
        </is>
      </c>
      <c r="C7" s="3" t="inlineStr">
        <is>
          <t>PY-001</t>
        </is>
      </c>
      <c r="D7" s="3" t="inlineStr">
        <is>
          <t>1. Add file helper.py 2. Import it in main.py 3. Run</t>
        </is>
      </c>
      <c r="E7" s="3" t="inlineStr">
        <is>
          <t>Import works</t>
        </is>
      </c>
      <c r="F7" s="3" t="inlineStr">
        <is>
          <t>P1</t>
        </is>
      </c>
      <c r="G7" s="3" t="n"/>
      <c r="H7" s="3" t="inlineStr">
        <is>
          <t>LX-21</t>
        </is>
      </c>
      <c r="I7" s="3" t="inlineStr">
        <is>
          <t>No</t>
        </is>
      </c>
    </row>
    <row r="8">
      <c r="A8" s="3" t="inlineStr">
        <is>
          <t>LRN-PY-007</t>
        </is>
      </c>
      <c r="B8" s="3" t="inlineStr">
        <is>
          <t>Delete a file</t>
        </is>
      </c>
      <c r="C8" s="3" t="inlineStr">
        <is>
          <t>PY-006</t>
        </is>
      </c>
      <c r="D8" s="3" t="inlineStr">
        <is>
          <t>1. Delete helper.py</t>
        </is>
      </c>
      <c r="E8" s="3" t="inlineStr">
        <is>
          <t>File removed; main.py stays</t>
        </is>
      </c>
      <c r="F8" s="3" t="inlineStr">
        <is>
          <t>P2</t>
        </is>
      </c>
      <c r="G8" s="3" t="n"/>
      <c r="H8" s="3" t="inlineStr">
        <is>
          <t>LX-21</t>
        </is>
      </c>
      <c r="I8" s="3" t="inlineStr">
        <is>
          <t>No</t>
        </is>
      </c>
    </row>
    <row r="9">
      <c r="A9" s="3" t="inlineStr">
        <is>
          <t>LRN-PY-008</t>
        </is>
      </c>
      <c r="B9" s="3" t="inlineStr">
        <is>
          <t>Multi-step assignment</t>
        </is>
      </c>
      <c r="C9" s="3" t="inlineStr">
        <is>
          <t>LP with several steps</t>
        </is>
      </c>
      <c r="D9" s="3" t="inlineStr">
        <is>
          <t>1. Move to the next step</t>
        </is>
      </c>
      <c r="E9" s="3" t="inlineStr">
        <is>
          <t>Instructions and files change to the next step</t>
        </is>
      </c>
      <c r="F9" s="3" t="inlineStr">
        <is>
          <t>P1</t>
        </is>
      </c>
      <c r="G9" s="3" t="n"/>
      <c r="H9" s="3" t="inlineStr">
        <is>
          <t>LX-22</t>
        </is>
      </c>
      <c r="I9" s="3" t="inlineStr">
        <is>
          <t>No</t>
        </is>
      </c>
    </row>
    <row r="10">
      <c r="A10" s="3" t="inlineStr">
        <is>
          <t>LRN-PY-009</t>
        </is>
      </c>
      <c r="B10" s="3" t="inlineStr">
        <is>
          <t>Submit saves the code</t>
        </is>
      </c>
      <c r="C10" s="3" t="inlineStr">
        <is>
          <t>PY-002</t>
        </is>
      </c>
      <c r="D10" s="3" t="inlineStr">
        <is>
          <t>1. Click Submit</t>
        </is>
      </c>
      <c r="E10" s="3" t="inlineStr">
        <is>
          <t>Success toast; sidebar shows 'Assignment Submitted'; assignment_progress row saved</t>
        </is>
      </c>
      <c r="F10" s="3" t="inlineStr">
        <is>
          <t>P0</t>
        </is>
      </c>
      <c r="G10" s="3" t="n"/>
      <c r="H10" s="3" t="inlineStr">
        <is>
          <t>LX-23</t>
        </is>
      </c>
      <c r="I10" s="3" t="inlineStr">
        <is>
          <t>No</t>
        </is>
      </c>
    </row>
    <row r="11">
      <c r="A11" s="3" t="inlineStr">
        <is>
          <t>LRN-PY-010</t>
        </is>
      </c>
      <c r="B11" s="3" t="inlineStr">
        <is>
          <t>Submitted code returns after reload</t>
        </is>
      </c>
      <c r="C11" s="3" t="inlineStr">
        <is>
          <t>PY-009</t>
        </is>
      </c>
      <c r="D11" s="3" t="inlineStr">
        <is>
          <t>1. Reload 2. Open the lesson</t>
        </is>
      </c>
      <c r="E11" s="3" t="inlineStr">
        <is>
          <t>Same code in the editor</t>
        </is>
      </c>
      <c r="F11" s="3" t="inlineStr">
        <is>
          <t>P0</t>
        </is>
      </c>
      <c r="G11" s="3" t="n"/>
      <c r="H11" s="3" t="inlineStr">
        <is>
          <t>LX-24</t>
        </is>
      </c>
      <c r="I11" s="3" t="inlineStr">
        <is>
          <t>No</t>
        </is>
      </c>
    </row>
    <row r="12">
      <c r="A12" s="3" t="inlineStr">
        <is>
          <t>LRN-PY-011</t>
        </is>
      </c>
      <c r="B12" s="3" t="inlineStr">
        <is>
          <t>Update after a second submit</t>
        </is>
      </c>
      <c r="C12" s="3" t="inlineStr">
        <is>
          <t>PY-009</t>
        </is>
      </c>
      <c r="D12" s="3" t="inlineStr">
        <is>
          <t>1. Change code 2. Click Update</t>
        </is>
      </c>
      <c r="E12" s="3" t="inlineStr">
        <is>
          <t>Row updated, not duplicated</t>
        </is>
      </c>
      <c r="F12" s="3" t="inlineStr">
        <is>
          <t>P1</t>
        </is>
      </c>
      <c r="G12" s="3" t="n"/>
      <c r="H12" s="3" t="inlineStr">
        <is>
          <t>LX-23</t>
        </is>
      </c>
      <c r="I12" s="3" t="inlineStr">
        <is>
          <t>No</t>
        </is>
      </c>
    </row>
    <row r="13">
      <c r="A13" s="3" t="inlineStr">
        <is>
          <t>LRN-PY-012</t>
        </is>
      </c>
      <c r="B13" s="3" t="inlineStr">
        <is>
          <t>Solution only after submit</t>
        </is>
      </c>
      <c r="C13" s="3" t="inlineStr">
        <is>
          <t>S2 before submitting</t>
        </is>
      </c>
      <c r="D13" s="3" t="inlineStr">
        <is>
          <t>1. Look for View Solution</t>
        </is>
      </c>
      <c r="E13" s="3" t="inlineStr">
        <is>
          <t>Not available</t>
        </is>
      </c>
      <c r="F13" s="3" t="inlineStr">
        <is>
          <t>P1</t>
        </is>
      </c>
      <c r="G13" s="3" t="n"/>
      <c r="H13" s="3" t="inlineStr">
        <is>
          <t>LX-25</t>
        </is>
      </c>
      <c r="I13" s="3" t="inlineStr">
        <is>
          <t>No</t>
        </is>
      </c>
    </row>
    <row r="14">
      <c r="A14" s="3" t="inlineStr">
        <is>
          <t>LRN-PY-013</t>
        </is>
      </c>
      <c r="B14" s="3" t="inlineStr">
        <is>
          <t>View Solution after submit</t>
        </is>
      </c>
      <c r="C14" s="3" t="inlineStr">
        <is>
          <t>PY-009</t>
        </is>
      </c>
      <c r="D14" s="3" t="inlineStr">
        <is>
          <t>1. Click View Solution</t>
        </is>
      </c>
      <c r="E14" s="3" t="inlineStr">
        <is>
          <t>Official solution window opens with expected outcome</t>
        </is>
      </c>
      <c r="F14" s="3" t="inlineStr">
        <is>
          <t>P1</t>
        </is>
      </c>
      <c r="G14" s="3" t="n"/>
      <c r="H14" s="3" t="inlineStr">
        <is>
          <t>LX-25</t>
        </is>
      </c>
      <c r="I14" s="3" t="inlineStr">
        <is>
          <t>No</t>
        </is>
      </c>
    </row>
    <row r="15">
      <c r="A15" s="3" t="inlineStr">
        <is>
          <t>LRN-PY-014</t>
        </is>
      </c>
      <c r="B15" s="3" t="inlineStr">
        <is>
          <t>Reference solution matches the expected outcome</t>
        </is>
      </c>
      <c r="C15" s="3" t="inlineStr">
        <is>
          <t>LP lesson</t>
        </is>
      </c>
      <c r="D15" s="3" t="inlineStr">
        <is>
          <t>1. Paste the official solution 2. Run</t>
        </is>
      </c>
      <c r="E15" s="3" t="inlineStr">
        <is>
          <t>Output equals the expected outcome</t>
        </is>
      </c>
      <c r="F15" s="3" t="inlineStr">
        <is>
          <t>P1</t>
        </is>
      </c>
      <c r="G15" s="3" t="n"/>
      <c r="H15" s="3" t="inlineStr">
        <is>
          <t>LX-26</t>
        </is>
      </c>
      <c r="I15" s="3" t="inlineStr">
        <is>
          <t>No</t>
        </is>
      </c>
    </row>
    <row r="16">
      <c r="A16" s="3" t="inlineStr">
        <is>
          <t>LRN-PY-015</t>
        </is>
      </c>
      <c r="B16" s="3" t="inlineStr">
        <is>
          <t>Solution window closes with the mouse</t>
        </is>
      </c>
      <c r="C16" s="3" t="inlineStr">
        <is>
          <t>PY-013</t>
        </is>
      </c>
      <c r="D16" s="3" t="inlineStr">
        <is>
          <t>1. Click the close (X)</t>
        </is>
      </c>
      <c r="E16" s="3" t="inlineStr">
        <is>
          <t>Window closes</t>
        </is>
      </c>
      <c r="F16" s="3" t="inlineStr">
        <is>
          <t>P1</t>
        </is>
      </c>
      <c r="G16" s="3" t="n"/>
      <c r="H16" s="3" t="inlineStr">
        <is>
          <t>LX-29</t>
        </is>
      </c>
      <c r="I16" s="3" t="inlineStr">
        <is>
          <t>No</t>
        </is>
      </c>
    </row>
    <row r="17">
      <c r="A17" s="3" t="inlineStr">
        <is>
          <t>LRN-PY-016</t>
        </is>
      </c>
      <c r="B17" s="3" t="inlineStr">
        <is>
          <t>Solution window closes with the keyboard</t>
        </is>
      </c>
      <c r="C17" s="3" t="inlineStr">
        <is>
          <t>PY-013</t>
        </is>
      </c>
      <c r="D17" s="3" t="inlineStr">
        <is>
          <t>1. Tab to Close / press Esc</t>
        </is>
      </c>
      <c r="E17" s="3" t="inlineStr">
        <is>
          <t>Closes; focus order reaches the close and cross buttons (defect SCP-32)</t>
        </is>
      </c>
      <c r="F17" s="3" t="inlineStr">
        <is>
          <t>P1</t>
        </is>
      </c>
      <c r="G17" s="3" t="n"/>
      <c r="H17" s="3" t="inlineStr">
        <is>
          <t>LX-29</t>
        </is>
      </c>
      <c r="I17" s="3" t="inlineStr">
        <is>
          <t>No</t>
        </is>
      </c>
    </row>
    <row r="18">
      <c r="A18" s="3" t="inlineStr">
        <is>
          <t>LRN-PY-017</t>
        </is>
      </c>
      <c r="B18" s="3" t="inlineStr">
        <is>
          <t>Autocomplete suggests built-ins</t>
        </is>
      </c>
      <c r="C18" s="3" t="inlineStr">
        <is>
          <t>PY-001</t>
        </is>
      </c>
      <c r="D18" s="3" t="inlineStr">
        <is>
          <t>1. Type 'pri' and wait</t>
        </is>
      </c>
      <c r="E18" s="3" t="inlineStr">
        <is>
          <t>Suggestion list shows print</t>
        </is>
      </c>
      <c r="F18" s="3" t="inlineStr">
        <is>
          <t>P2</t>
        </is>
      </c>
      <c r="G18" s="3" t="n"/>
      <c r="H18" s="3" t="inlineStr">
        <is>
          <t>LX-27</t>
        </is>
      </c>
      <c r="I18" s="3" t="inlineStr">
        <is>
          <t>No</t>
        </is>
      </c>
    </row>
    <row r="19">
      <c r="A19" s="3" t="inlineStr">
        <is>
          <t>LRN-PY-018</t>
        </is>
      </c>
      <c r="B19" s="3" t="inlineStr">
        <is>
          <t>Visualize tab</t>
        </is>
      </c>
      <c r="C19" s="3" t="inlineStr">
        <is>
          <t>PY-002</t>
        </is>
      </c>
      <c r="D19" s="3" t="inlineStr">
        <is>
          <t>1. Open Visualize</t>
        </is>
      </c>
      <c r="E19" s="3" t="inlineStr">
        <is>
          <t>Step-through of the code is shown</t>
        </is>
      </c>
      <c r="F19" s="3" t="inlineStr">
        <is>
          <t>P2</t>
        </is>
      </c>
      <c r="G19" s="3" t="n"/>
      <c r="H19" s="3" t="inlineStr">
        <is>
          <t>LX-28</t>
        </is>
      </c>
      <c r="I19" s="3" t="inlineStr">
        <is>
          <t>No</t>
        </is>
      </c>
    </row>
    <row r="20">
      <c r="A20" s="3" t="inlineStr">
        <is>
          <t>LRN-PY-019</t>
        </is>
      </c>
      <c r="B20" s="3" t="inlineStr">
        <is>
          <t>Submit with an empty editor</t>
        </is>
      </c>
      <c r="C20" s="3" t="inlineStr">
        <is>
          <t>Empty main.py</t>
        </is>
      </c>
      <c r="D20" s="3" t="inlineStr">
        <is>
          <t>1. Click Submit</t>
        </is>
      </c>
      <c r="E20" s="3" t="inlineStr">
        <is>
          <t>Handled with feedback; no crash</t>
        </is>
      </c>
      <c r="F20" s="3" t="inlineStr">
        <is>
          <t>P1</t>
        </is>
      </c>
      <c r="G20" s="3" t="n"/>
      <c r="H20" s="3" t="inlineStr">
        <is>
          <t>LX-23</t>
        </is>
      </c>
      <c r="I20" s="3" t="inlineStr">
        <is>
          <t>No</t>
        </is>
      </c>
    </row>
    <row r="21">
      <c r="A21" s="3" t="inlineStr">
        <is>
          <t>LRN-PY-020</t>
        </is>
      </c>
      <c r="B21" s="3" t="inlineStr">
        <is>
          <t>Double click on Submit saves once</t>
        </is>
      </c>
      <c r="C21" s="3" t="inlineStr">
        <is>
          <t>PY-002</t>
        </is>
      </c>
      <c r="D21" s="3" t="inlineStr">
        <is>
          <t>1. Double-click Submit</t>
        </is>
      </c>
      <c r="E21" s="3" t="inlineStr">
        <is>
          <t>One row</t>
        </is>
      </c>
      <c r="F21" s="3" t="inlineStr">
        <is>
          <t>P1</t>
        </is>
      </c>
      <c r="G21" s="3" t="n"/>
      <c r="H21" s="3" t="inlineStr">
        <is>
          <t>LX-23</t>
        </is>
      </c>
      <c r="I21" s="3" t="inlineStr">
        <is>
          <t>No</t>
        </is>
      </c>
    </row>
    <row r="22">
      <c r="F22" s="4" t="inlineStr">
        <is>
          <t>Coverage</t>
        </is>
      </c>
      <c r="G22" s="6">
        <f>IF(COUNTA(A2:A21)=0,0,(COUNTIF(G2:G21,"Passed")+COUNTIF(G2:G21,"Failed")+COUNTIF(G2:G21,"NA"))/COUNTA(A2:A21))</f>
        <v/>
      </c>
    </row>
  </sheetData>
  <conditionalFormatting sqref="G2:G2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21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LRN-GIT-001</t>
        </is>
      </c>
      <c r="B2" s="3" t="inlineStr">
        <is>
          <t>Instructions and terminal load</t>
        </is>
      </c>
      <c r="C2" s="3" t="inlineStr">
        <is>
          <t>S1; LG lesson</t>
        </is>
      </c>
      <c r="D2" s="3" t="inlineStr">
        <is>
          <t>1. Open Practice</t>
        </is>
      </c>
      <c r="E2" s="3" t="inlineStr">
        <is>
          <t>Instructions listed; terminal prompt ready</t>
        </is>
      </c>
      <c r="F2" s="3" t="inlineStr">
        <is>
          <t>P0</t>
        </is>
      </c>
      <c r="G2" s="3" t="n"/>
      <c r="H2" s="3" t="inlineStr">
        <is>
          <t>LX-30</t>
        </is>
      </c>
      <c r="I2" s="3" t="inlineStr">
        <is>
          <t>No</t>
        </is>
      </c>
    </row>
    <row r="3">
      <c r="A3" s="3" t="inlineStr">
        <is>
          <t>LRN-GIT-002</t>
        </is>
      </c>
      <c r="B3" s="3" t="inlineStr">
        <is>
          <t>git status</t>
        </is>
      </c>
      <c r="C3" s="3" t="inlineStr">
        <is>
          <t>GIT-001</t>
        </is>
      </c>
      <c r="D3" s="3" t="inlineStr">
        <is>
          <t>1. Type git status</t>
        </is>
      </c>
      <c r="E3" s="3" t="inlineStr">
        <is>
          <t>Simulator status text</t>
        </is>
      </c>
      <c r="F3" s="3" t="inlineStr">
        <is>
          <t>P0</t>
        </is>
      </c>
      <c r="G3" s="3" t="n"/>
      <c r="H3" s="3" t="inlineStr">
        <is>
          <t>LX-31</t>
        </is>
      </c>
      <c r="I3" s="3" t="inlineStr">
        <is>
          <t>No</t>
        </is>
      </c>
    </row>
    <row r="4">
      <c r="A4" s="3" t="inlineStr">
        <is>
          <t>LRN-GIT-003</t>
        </is>
      </c>
      <c r="B4" s="3" t="inlineStr">
        <is>
          <t>git add and git commit</t>
        </is>
      </c>
      <c r="C4" s="3" t="inlineStr">
        <is>
          <t>GIT-001</t>
        </is>
      </c>
      <c r="D4" s="3" t="inlineStr">
        <is>
          <t>1. git add &lt;file&gt; 2. git commit -m 'msg'</t>
        </is>
      </c>
      <c r="E4" s="3" t="inlineStr">
        <is>
          <t>Commit confirmation; graph shows the commit</t>
        </is>
      </c>
      <c r="F4" s="3" t="inlineStr">
        <is>
          <t>P0</t>
        </is>
      </c>
      <c r="G4" s="3" t="n"/>
      <c r="H4" s="3" t="inlineStr">
        <is>
          <t>LX-31</t>
        </is>
      </c>
      <c r="I4" s="3" t="inlineStr">
        <is>
          <t>No</t>
        </is>
      </c>
    </row>
    <row r="5">
      <c r="A5" s="3" t="inlineStr">
        <is>
          <t>LRN-GIT-004</t>
        </is>
      </c>
      <c r="B5" s="3" t="inlineStr">
        <is>
          <t>git log --oneline</t>
        </is>
      </c>
      <c r="C5" s="3" t="inlineStr">
        <is>
          <t>GIT-003</t>
        </is>
      </c>
      <c r="D5" s="3" t="inlineStr">
        <is>
          <t>1. Run it</t>
        </is>
      </c>
      <c r="E5" s="3" t="inlineStr">
        <is>
          <t>Commit list with the message</t>
        </is>
      </c>
      <c r="F5" s="3" t="inlineStr">
        <is>
          <t>P1</t>
        </is>
      </c>
      <c r="G5" s="3" t="n"/>
      <c r="H5" s="3" t="inlineStr">
        <is>
          <t>LX-31</t>
        </is>
      </c>
      <c r="I5" s="3" t="inlineStr">
        <is>
          <t>No</t>
        </is>
      </c>
    </row>
    <row r="6">
      <c r="A6" s="3" t="inlineStr">
        <is>
          <t>LRN-GIT-005</t>
        </is>
      </c>
      <c r="B6" s="3" t="inlineStr">
        <is>
          <t>git checkout -b creates a branch</t>
        </is>
      </c>
      <c r="C6" s="3" t="inlineStr">
        <is>
          <t>GIT-003</t>
        </is>
      </c>
      <c r="D6" s="3" t="inlineStr">
        <is>
          <t>1. git checkout -b feature</t>
        </is>
      </c>
      <c r="E6" s="3" t="inlineStr">
        <is>
          <t>Branch label shows 'feature'; graph shows the branch</t>
        </is>
      </c>
      <c r="F6" s="3" t="inlineStr">
        <is>
          <t>P1</t>
        </is>
      </c>
      <c r="G6" s="3" t="n"/>
      <c r="H6" s="3" t="inlineStr">
        <is>
          <t>LX-32</t>
        </is>
      </c>
      <c r="I6" s="3" t="inlineStr">
        <is>
          <t>No</t>
        </is>
      </c>
    </row>
    <row r="7">
      <c r="A7" s="3" t="inlineStr">
        <is>
          <t>LRN-GIT-006</t>
        </is>
      </c>
      <c r="B7" s="3" t="inlineStr">
        <is>
          <t>Unsupported command</t>
        </is>
      </c>
      <c r="C7" s="3" t="inlineStr">
        <is>
          <t>GIT-001</t>
        </is>
      </c>
      <c r="D7" s="3" t="inlineStr">
        <is>
          <t>1. Type git rebase main</t>
        </is>
      </c>
      <c r="E7" s="3" t="inlineStr">
        <is>
          <t>Message that the command is not supported</t>
        </is>
      </c>
      <c r="F7" s="3" t="inlineStr">
        <is>
          <t>P1</t>
        </is>
      </c>
      <c r="G7" s="3" t="n"/>
      <c r="H7" s="3" t="inlineStr">
        <is>
          <t>LX-33</t>
        </is>
      </c>
      <c r="I7" s="3" t="inlineStr">
        <is>
          <t>No</t>
        </is>
      </c>
    </row>
    <row r="8">
      <c r="A8" s="3" t="inlineStr">
        <is>
          <t>LRN-GIT-007</t>
        </is>
      </c>
      <c r="B8" s="3" t="inlineStr">
        <is>
          <t>Commit with nothing staged</t>
        </is>
      </c>
      <c r="C8" s="3" t="inlineStr">
        <is>
          <t>GIT-001</t>
        </is>
      </c>
      <c r="D8" s="3" t="inlineStr">
        <is>
          <t>1. git commit -m 'x'</t>
        </is>
      </c>
      <c r="E8" s="3" t="inlineStr">
        <is>
          <t>Explains 'nothing to commit'</t>
        </is>
      </c>
      <c r="F8" s="3" t="inlineStr">
        <is>
          <t>P1</t>
        </is>
      </c>
      <c r="G8" s="3" t="n"/>
      <c r="H8" s="3" t="inlineStr">
        <is>
          <t>LX-34</t>
        </is>
      </c>
      <c r="I8" s="3" t="inlineStr">
        <is>
          <t>No</t>
        </is>
      </c>
    </row>
    <row r="9">
      <c r="A9" s="3" t="inlineStr">
        <is>
          <t>LRN-GIT-008</t>
        </is>
      </c>
      <c r="B9" s="3" t="inlineStr">
        <is>
          <t>Empty command</t>
        </is>
      </c>
      <c r="C9" s="3" t="inlineStr">
        <is>
          <t>GIT-001</t>
        </is>
      </c>
      <c r="D9" s="3" t="inlineStr">
        <is>
          <t>1. Press Enter on an empty line</t>
        </is>
      </c>
      <c r="E9" s="3" t="inlineStr">
        <is>
          <t>No error; new prompt</t>
        </is>
      </c>
      <c r="F9" s="3" t="inlineStr">
        <is>
          <t>P2</t>
        </is>
      </c>
      <c r="G9" s="3" t="n"/>
      <c r="H9" s="3" t="inlineStr">
        <is>
          <t>LX-33</t>
        </is>
      </c>
      <c r="I9" s="3" t="inlineStr">
        <is>
          <t>No</t>
        </is>
      </c>
    </row>
    <row r="10">
      <c r="A10" s="3" t="inlineStr">
        <is>
          <t>LRN-GIT-009</t>
        </is>
      </c>
      <c r="B10" s="3" t="inlineStr">
        <is>
          <t>Git Graph tab</t>
        </is>
      </c>
      <c r="C10" s="3" t="inlineStr">
        <is>
          <t>GIT-003</t>
        </is>
      </c>
      <c r="D10" s="3" t="inlineStr">
        <is>
          <t>1. Open Git Graph</t>
        </is>
      </c>
      <c r="E10" s="3" t="inlineStr">
        <is>
          <t>Nodes and branch lines match the commands</t>
        </is>
      </c>
      <c r="F10" s="3" t="inlineStr">
        <is>
          <t>P1</t>
        </is>
      </c>
      <c r="G10" s="3" t="n"/>
      <c r="H10" s="3" t="inlineStr">
        <is>
          <t>LX-35</t>
        </is>
      </c>
      <c r="I10" s="3" t="inlineStr">
        <is>
          <t>No</t>
        </is>
      </c>
    </row>
    <row r="11">
      <c r="A11" s="3" t="inlineStr">
        <is>
          <t>LRN-GIT-010</t>
        </is>
      </c>
      <c r="B11" s="3" t="inlineStr">
        <is>
          <t>Reset clears the lab</t>
        </is>
      </c>
      <c r="C11" s="3" t="inlineStr">
        <is>
          <t>GIT-003</t>
        </is>
      </c>
      <c r="D11" s="3" t="inlineStr">
        <is>
          <t>1. Click Reset</t>
        </is>
      </c>
      <c r="E11" s="3" t="inlineStr">
        <is>
          <t>Terminal and graph return to the start</t>
        </is>
      </c>
      <c r="F11" s="3" t="inlineStr">
        <is>
          <t>P1</t>
        </is>
      </c>
      <c r="G11" s="3" t="n"/>
      <c r="H11" s="3" t="inlineStr">
        <is>
          <t>LX-36</t>
        </is>
      </c>
      <c r="I11" s="3" t="inlineStr">
        <is>
          <t>No</t>
        </is>
      </c>
    </row>
    <row r="12">
      <c r="A12" s="3" t="inlineStr">
        <is>
          <t>LRN-GIT-011</t>
        </is>
      </c>
      <c r="B12" s="3" t="inlineStr">
        <is>
          <t>Submit saves the history</t>
        </is>
      </c>
      <c r="C12" s="3" t="inlineStr">
        <is>
          <t>GIT-003</t>
        </is>
      </c>
      <c r="D12" s="3" t="inlineStr">
        <is>
          <t>1. Click Submit</t>
        </is>
      </c>
      <c r="E12" s="3" t="inlineStr">
        <is>
          <t>Toast; sidebar 'Assignment Submitted'; row saved</t>
        </is>
      </c>
      <c r="F12" s="3" t="inlineStr">
        <is>
          <t>P1</t>
        </is>
      </c>
      <c r="G12" s="3" t="n"/>
      <c r="H12" s="3" t="inlineStr">
        <is>
          <t>LX-37</t>
        </is>
      </c>
      <c r="I12" s="3" t="inlineStr">
        <is>
          <t>No</t>
        </is>
      </c>
    </row>
    <row r="13">
      <c r="A13" s="3" t="inlineStr">
        <is>
          <t>LRN-GIT-012</t>
        </is>
      </c>
      <c r="B13" s="3" t="inlineStr">
        <is>
          <t>Switching lessons resets the simulator</t>
        </is>
      </c>
      <c r="C13" s="3" t="inlineStr">
        <is>
          <t>GIT-003</t>
        </is>
      </c>
      <c r="D13" s="3" t="inlineStr">
        <is>
          <t>1. Open another lesson and come back</t>
        </is>
      </c>
      <c r="E13" s="3" t="inlineStr">
        <is>
          <t>Fresh lab (or saved submission as designed)</t>
        </is>
      </c>
      <c r="F13" s="3" t="inlineStr">
        <is>
          <t>P2</t>
        </is>
      </c>
      <c r="G13" s="3" t="n"/>
      <c r="H13" s="3" t="inlineStr">
        <is>
          <t>LX-05</t>
        </is>
      </c>
      <c r="I13" s="3" t="inlineStr">
        <is>
          <t>No</t>
        </is>
      </c>
    </row>
    <row r="14">
      <c r="F14" s="4" t="inlineStr">
        <is>
          <t>Coverage</t>
        </is>
      </c>
      <c r="G14" s="6">
        <f>IF(COUNTA(A2:A13)=0,0,(COUNTIF(G2:G13,"Passed")+COUNTIF(G2:G13,"Failed")+COUNTIF(G2:G13,"NA"))/COUNTA(A2:A13))</f>
        <v/>
      </c>
    </row>
  </sheetData>
  <conditionalFormatting sqref="G2:G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3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LRN-AI-001</t>
        </is>
      </c>
      <c r="B2" s="3" t="inlineStr">
        <is>
          <t>Ask AI shows a loading state</t>
        </is>
      </c>
      <c r="C2" s="3" t="inlineStr">
        <is>
          <t>S2 on a Python lesson</t>
        </is>
      </c>
      <c r="D2" s="3" t="inlineStr">
        <is>
          <t>1. Click Ask AI</t>
        </is>
      </c>
      <c r="E2" s="3" t="inlineStr">
        <is>
          <t>Loading indicator on the button</t>
        </is>
      </c>
      <c r="F2" s="3" t="inlineStr">
        <is>
          <t>P1</t>
        </is>
      </c>
      <c r="G2" s="3" t="n"/>
      <c r="H2" s="3" t="inlineStr">
        <is>
          <t>LX-38</t>
        </is>
      </c>
      <c r="I2" s="3" t="inlineStr">
        <is>
          <t>No</t>
        </is>
      </c>
    </row>
    <row r="3">
      <c r="A3" s="3" t="inlineStr">
        <is>
          <t>LRN-AI-002</t>
        </is>
      </c>
      <c r="B3" s="3" t="inlineStr">
        <is>
          <t>Ask AI shows a reply</t>
        </is>
      </c>
      <c r="C3" s="3" t="inlineStr">
        <is>
          <t>AI-001</t>
        </is>
      </c>
      <c r="D3" s="3" t="inlineStr">
        <is>
          <t>1. Wait</t>
        </is>
      </c>
      <c r="E3" s="3" t="inlineStr">
        <is>
          <t>Reply text appears</t>
        </is>
      </c>
      <c r="F3" s="3" t="inlineStr">
        <is>
          <t>P0</t>
        </is>
      </c>
      <c r="G3" s="3" t="n"/>
      <c r="H3" s="3" t="inlineStr">
        <is>
          <t>LX-38</t>
        </is>
      </c>
      <c r="I3" s="3" t="inlineStr">
        <is>
          <t>No</t>
        </is>
      </c>
    </row>
    <row r="4">
      <c r="A4" s="3" t="inlineStr">
        <is>
          <t>LRN-AI-003</t>
        </is>
      </c>
      <c r="B4" s="3" t="inlineStr">
        <is>
          <t>Request carries lab type, code, output</t>
        </is>
      </c>
      <c r="C4" s="3" t="inlineStr">
        <is>
          <t>AI-002; network log</t>
        </is>
      </c>
      <c r="D4" s="3" t="inlineStr">
        <is>
          <t>1. Inspect POST /api/ai-tutor</t>
        </is>
      </c>
      <c r="E4" s="3" t="inlineStr">
        <is>
          <t>Body has labType, code, assignment, output</t>
        </is>
      </c>
      <c r="F4" s="3" t="inlineStr">
        <is>
          <t>P1</t>
        </is>
      </c>
      <c r="G4" s="3" t="n"/>
      <c r="H4" s="3" t="inlineStr">
        <is>
          <t>LX-38</t>
        </is>
      </c>
      <c r="I4" s="3" t="inlineStr">
        <is>
          <t>No</t>
        </is>
      </c>
    </row>
    <row r="5">
      <c r="A5" s="3" t="inlineStr">
        <is>
          <t>LRN-AI-004</t>
        </is>
      </c>
      <c r="B5" s="3" t="inlineStr">
        <is>
          <t>Git reply follows the last command</t>
        </is>
      </c>
      <c r="C5" s="3" t="inlineStr">
        <is>
          <t>S1 after 'git commit' with nothing staged</t>
        </is>
      </c>
      <c r="D5" s="3" t="inlineStr">
        <is>
          <t>1. Click Ask AI</t>
        </is>
      </c>
      <c r="E5" s="3" t="inlineStr">
        <is>
          <t>Hint mentions staging with git add</t>
        </is>
      </c>
      <c r="F5" s="3" t="inlineStr">
        <is>
          <t>P1</t>
        </is>
      </c>
      <c r="G5" s="3" t="n"/>
      <c r="H5" s="3" t="inlineStr">
        <is>
          <t>LX-39</t>
        </is>
      </c>
      <c r="I5" s="3" t="inlineStr">
        <is>
          <t>No</t>
        </is>
      </c>
    </row>
    <row r="6">
      <c r="A6" s="3" t="inlineStr">
        <is>
          <t>LRN-AI-005</t>
        </is>
      </c>
      <c r="B6" s="3" t="inlineStr">
        <is>
          <t>Failure shows a message</t>
        </is>
      </c>
      <c r="C6" s="3" t="inlineStr">
        <is>
          <t>/api/ai-tutor forced to 500</t>
        </is>
      </c>
      <c r="D6" s="3" t="inlineStr">
        <is>
          <t>1. Click Ask AI</t>
        </is>
      </c>
      <c r="E6" s="3" t="inlineStr">
        <is>
          <t>Message shown; Run and Submit still work</t>
        </is>
      </c>
      <c r="F6" s="3" t="inlineStr">
        <is>
          <t>P1</t>
        </is>
      </c>
      <c r="G6" s="3" t="n"/>
      <c r="H6" s="3" t="inlineStr">
        <is>
          <t>LX-40</t>
        </is>
      </c>
      <c r="I6" s="3" t="inlineStr">
        <is>
          <t>No</t>
        </is>
      </c>
    </row>
    <row r="7">
      <c r="A7" s="3" t="inlineStr">
        <is>
          <t>LRN-AI-006</t>
        </is>
      </c>
      <c r="B7" s="3" t="inlineStr">
        <is>
          <t>Reply cleared on lesson change</t>
        </is>
      </c>
      <c r="C7" s="3" t="inlineStr">
        <is>
          <t>AI-002</t>
        </is>
      </c>
      <c r="D7" s="3" t="inlineStr">
        <is>
          <t>1. Open another lesson</t>
        </is>
      </c>
      <c r="E7" s="3" t="inlineStr">
        <is>
          <t>No reply shown</t>
        </is>
      </c>
      <c r="F7" s="3" t="inlineStr">
        <is>
          <t>P2</t>
        </is>
      </c>
      <c r="G7" s="3" t="n"/>
      <c r="H7" s="3" t="inlineStr">
        <is>
          <t>LX-05</t>
        </is>
      </c>
      <c r="I7" s="3" t="inlineStr">
        <is>
          <t>No</t>
        </is>
      </c>
    </row>
    <row r="8">
      <c r="A8" s="3" t="inlineStr">
        <is>
          <t>LRN-AI-007</t>
        </is>
      </c>
      <c r="B8" s="3" t="inlineStr">
        <is>
          <t>Note: current reply is a canned test-mode message</t>
        </is>
      </c>
      <c r="C8" s="3" t="inlineStr">
        <is>
          <t>Any</t>
        </is>
      </c>
      <c r="D8" s="3" t="inlineStr">
        <is>
          <t>1. Read the reply</t>
        </is>
      </c>
      <c r="E8" s="3" t="inlineStr">
        <is>
          <t>Test-mode text (real LLM not integrated, R-LX-5); record as a known limitation</t>
        </is>
      </c>
      <c r="F8" s="3" t="inlineStr">
        <is>
          <t>P2</t>
        </is>
      </c>
      <c r="G8" s="3" t="n"/>
      <c r="H8" s="3" t="inlineStr">
        <is>
          <t>LX-38</t>
        </is>
      </c>
      <c r="I8" s="3" t="inlineStr">
        <is>
          <t>No</t>
        </is>
      </c>
    </row>
    <row r="9">
      <c r="F9" s="4" t="inlineStr">
        <is>
          <t>Coverage</t>
        </is>
      </c>
      <c r="G9" s="6">
        <f>IF(COUNTA(A2:A8)=0,0,(COUNTIF(G2:G8,"Passed")+COUNTIF(G2:G8,"Failed")+COUNTIF(G2:G8,"NA"))/COUNTA(A2:A8))</f>
        <v/>
      </c>
    </row>
  </sheetData>
  <conditionalFormatting sqref="G2:G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8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LRN-EXM-001</t>
        </is>
      </c>
      <c r="B2" s="3" t="inlineStr">
        <is>
          <t>Exam lesson shows the attempts counter</t>
        </is>
      </c>
      <c r="C2" s="3" t="inlineStr">
        <is>
          <t>E1 with 0 attempts</t>
        </is>
      </c>
      <c r="D2" s="3" t="inlineStr">
        <is>
          <t>1. Open the exam lesson Practice</t>
        </is>
      </c>
      <c r="E2" s="3" t="inlineStr">
        <is>
          <t>'Submit Exam (0/5)'</t>
        </is>
      </c>
      <c r="F2" s="3" t="inlineStr">
        <is>
          <t>P0</t>
        </is>
      </c>
      <c r="G2" s="3" t="n"/>
      <c r="H2" s="3" t="inlineStr">
        <is>
          <t>LX-41</t>
        </is>
      </c>
      <c r="I2" s="3" t="inlineStr">
        <is>
          <t>No</t>
        </is>
      </c>
    </row>
    <row r="3">
      <c r="A3" s="3" t="inlineStr">
        <is>
          <t>LRN-EXM-002</t>
        </is>
      </c>
      <c r="B3" s="3" t="inlineStr">
        <is>
          <t>Submit uses an attempt</t>
        </is>
      </c>
      <c r="C3" s="3" t="inlineStr">
        <is>
          <t>EXM-001</t>
        </is>
      </c>
      <c r="D3" s="3" t="inlineStr">
        <is>
          <t>1. Submit the exam</t>
        </is>
      </c>
      <c r="E3" s="3" t="inlineStr">
        <is>
          <t>Counter shows 1/5; result message with the score</t>
        </is>
      </c>
      <c r="F3" s="3" t="inlineStr">
        <is>
          <t>P0</t>
        </is>
      </c>
      <c r="G3" s="3" t="n"/>
      <c r="H3" s="3" t="inlineStr">
        <is>
          <t>LX-42</t>
        </is>
      </c>
      <c r="I3" s="3" t="inlineStr">
        <is>
          <t>No</t>
        </is>
      </c>
    </row>
    <row r="4">
      <c r="A4" s="3" t="inlineStr">
        <is>
          <t>LRN-EXM-003</t>
        </is>
      </c>
      <c r="B4" s="3" t="inlineStr">
        <is>
          <t>Pass unlocks advanced lessons</t>
        </is>
      </c>
      <c r="C4" s="3" t="inlineStr">
        <is>
          <t>E1 passing (&gt;= 80%)</t>
        </is>
      </c>
      <c r="D4" s="3" t="inlineStr">
        <is>
          <t>1. Open an advanced lesson</t>
        </is>
      </c>
      <c r="E4" s="3" t="inlineStr">
        <is>
          <t>Lesson opens</t>
        </is>
      </c>
      <c r="F4" s="3" t="inlineStr">
        <is>
          <t>P0</t>
        </is>
      </c>
      <c r="G4" s="3" t="n"/>
      <c r="H4" s="3" t="inlineStr">
        <is>
          <t>LX-43</t>
        </is>
      </c>
      <c r="I4" s="3" t="inlineStr">
        <is>
          <t>No</t>
        </is>
      </c>
    </row>
    <row r="5">
      <c r="A5" s="3" t="inlineStr">
        <is>
          <t>LRN-EXM-004</t>
        </is>
      </c>
      <c r="B5" s="3" t="inlineStr">
        <is>
          <t>Fail keeps advanced lessons locked</t>
        </is>
      </c>
      <c r="C5" s="3" t="inlineStr">
        <is>
          <t>E1 failing</t>
        </is>
      </c>
      <c r="D5" s="3" t="inlineStr">
        <is>
          <t>1. Click an advanced lesson</t>
        </is>
      </c>
      <c r="E5" s="3" t="inlineStr">
        <is>
          <t>Lock message; lesson does not open; attempts left shown</t>
        </is>
      </c>
      <c r="F5" s="3" t="inlineStr">
        <is>
          <t>P0</t>
        </is>
      </c>
      <c r="G5" s="3" t="n"/>
      <c r="H5" s="3" t="inlineStr">
        <is>
          <t>LX-44</t>
        </is>
      </c>
      <c r="I5" s="3" t="inlineStr">
        <is>
          <t>No</t>
        </is>
      </c>
    </row>
    <row r="6">
      <c r="A6" s="3" t="inlineStr">
        <is>
          <t>LRN-EXM-005</t>
        </is>
      </c>
      <c r="B6" s="3" t="inlineStr">
        <is>
          <t>Five attempts used</t>
        </is>
      </c>
      <c r="C6" s="3" t="inlineStr">
        <is>
          <t>E1 with 5 attempts</t>
        </is>
      </c>
      <c r="D6" s="3" t="inlineStr">
        <is>
          <t>1. Try to submit</t>
        </is>
      </c>
      <c r="E6" s="3" t="inlineStr">
        <is>
          <t>Refused with a message</t>
        </is>
      </c>
      <c r="F6" s="3" t="inlineStr">
        <is>
          <t>P1</t>
        </is>
      </c>
      <c r="G6" s="3" t="n"/>
      <c r="H6" s="3" t="inlineStr">
        <is>
          <t>LX-45</t>
        </is>
      </c>
      <c r="I6" s="3" t="inlineStr">
        <is>
          <t>No</t>
        </is>
      </c>
    </row>
    <row r="7">
      <c r="A7" s="3" t="inlineStr">
        <is>
          <t>LRN-EXM-006</t>
        </is>
      </c>
      <c r="B7" s="3" t="inlineStr">
        <is>
          <t>Locked lesson message</t>
        </is>
      </c>
      <c r="C7" s="3" t="inlineStr">
        <is>
          <t>S2 not passed</t>
        </is>
      </c>
      <c r="D7" s="3" t="inlineStr">
        <is>
          <t>1. Click an advanced lesson</t>
        </is>
      </c>
      <c r="E7" s="3" t="inlineStr">
        <is>
          <t>'Advanced Content Locked: pass the Final Exam with 80%…'</t>
        </is>
      </c>
      <c r="F7" s="3" t="inlineStr">
        <is>
          <t>P0</t>
        </is>
      </c>
      <c r="G7" s="3" t="n"/>
      <c r="H7" s="3" t="inlineStr">
        <is>
          <t>LX-46</t>
        </is>
      </c>
      <c r="I7" s="3" t="inlineStr">
        <is>
          <t>No</t>
        </is>
      </c>
    </row>
    <row r="8">
      <c r="A8" s="3" t="inlineStr">
        <is>
          <t>LRN-EXM-007</t>
        </is>
      </c>
      <c r="B8" s="3" t="inlineStr">
        <is>
          <t>Lock marker in the sidebar</t>
        </is>
      </c>
      <c r="C8" s="3" t="inlineStr">
        <is>
          <t>S2 not passed</t>
        </is>
      </c>
      <c r="D8" s="3" t="inlineStr">
        <is>
          <t>1. Read the sidebar</t>
        </is>
      </c>
      <c r="E8" s="3" t="inlineStr">
        <is>
          <t>Advanced lessons show a lock</t>
        </is>
      </c>
      <c r="F8" s="3" t="inlineStr">
        <is>
          <t>P1</t>
        </is>
      </c>
      <c r="G8" s="3" t="n"/>
      <c r="H8" s="3" t="inlineStr">
        <is>
          <t>LX-46</t>
        </is>
      </c>
      <c r="I8" s="3" t="inlineStr">
        <is>
          <t>No</t>
        </is>
      </c>
    </row>
    <row r="9">
      <c r="A9" s="3" t="inlineStr">
        <is>
          <t>LRN-EXM-008</t>
        </is>
      </c>
      <c r="B9" s="3" t="inlineStr">
        <is>
          <t>Admin opens a locked lesson</t>
        </is>
      </c>
      <c r="C9" s="3" t="inlineStr">
        <is>
          <t>A1</t>
        </is>
      </c>
      <c r="D9" s="3" t="inlineStr">
        <is>
          <t>1. Click an advanced lesson</t>
        </is>
      </c>
      <c r="E9" s="3" t="inlineStr">
        <is>
          <t>Opens without passing</t>
        </is>
      </c>
      <c r="F9" s="3" t="inlineStr">
        <is>
          <t>P1</t>
        </is>
      </c>
      <c r="G9" s="3" t="n"/>
      <c r="H9" s="3" t="inlineStr">
        <is>
          <t>LX-47</t>
        </is>
      </c>
      <c r="I9" s="3" t="inlineStr">
        <is>
          <t>No</t>
        </is>
      </c>
    </row>
    <row r="10">
      <c r="A10" s="3" t="inlineStr">
        <is>
          <t>LRN-EXM-009</t>
        </is>
      </c>
      <c r="B10" s="3" t="inlineStr">
        <is>
          <t>Certificate after completion</t>
        </is>
      </c>
      <c r="C10" s="3" t="inlineStr">
        <is>
          <t>E1 passed and all lessons done</t>
        </is>
      </c>
      <c r="D10" s="3" t="inlineStr">
        <is>
          <t>1. Click the certificate action</t>
        </is>
      </c>
      <c r="E10" s="3" t="inlineStr">
        <is>
          <t>PDF downloads with the learner's name, landscape A4</t>
        </is>
      </c>
      <c r="F10" s="3" t="inlineStr">
        <is>
          <t>P0</t>
        </is>
      </c>
      <c r="G10" s="3" t="n"/>
      <c r="H10" s="3" t="inlineStr">
        <is>
          <t>LX-48</t>
        </is>
      </c>
      <c r="I10" s="3" t="inlineStr">
        <is>
          <t>No</t>
        </is>
      </c>
    </row>
    <row r="11">
      <c r="A11" s="3" t="inlineStr">
        <is>
          <t>LRN-EXM-010</t>
        </is>
      </c>
      <c r="B11" s="3" t="inlineStr">
        <is>
          <t>No certificate before completion</t>
        </is>
      </c>
      <c r="C11" s="3" t="inlineStr">
        <is>
          <t>S2 incomplete</t>
        </is>
      </c>
      <c r="D11" s="3" t="inlineStr">
        <is>
          <t>1. Look for the certificate action</t>
        </is>
      </c>
      <c r="E11" s="3" t="inlineStr">
        <is>
          <t>Not offered</t>
        </is>
      </c>
      <c r="F11" s="3" t="inlineStr">
        <is>
          <t>P0</t>
        </is>
      </c>
      <c r="G11" s="3" t="n"/>
      <c r="H11" s="3" t="inlineStr">
        <is>
          <t>LX-49</t>
        </is>
      </c>
      <c r="I11" s="3" t="inlineStr">
        <is>
          <t>No</t>
        </is>
      </c>
    </row>
    <row r="12">
      <c r="A12" s="3" t="inlineStr">
        <is>
          <t>LRN-EXM-011</t>
        </is>
      </c>
      <c r="B12" s="3" t="inlineStr">
        <is>
          <t>Certificate generation failure</t>
        </is>
      </c>
      <c r="C12" s="3" t="inlineStr">
        <is>
          <t>jsPDF import blocked</t>
        </is>
      </c>
      <c r="D12" s="3" t="inlineStr">
        <is>
          <t>1. Click the action</t>
        </is>
      </c>
      <c r="E12" s="3" t="inlineStr">
        <is>
          <t>Alert 'Something went wrong while generating your certificate.'</t>
        </is>
      </c>
      <c r="F12" s="3" t="inlineStr">
        <is>
          <t>P1</t>
        </is>
      </c>
      <c r="G12" s="3" t="n"/>
      <c r="H12" s="3" t="inlineStr">
        <is>
          <t>LX-50</t>
        </is>
      </c>
      <c r="I12" s="3" t="inlineStr">
        <is>
          <t>No</t>
        </is>
      </c>
    </row>
    <row r="13">
      <c r="A13" s="3" t="inlineStr">
        <is>
          <t>LRN-EXM-012</t>
        </is>
      </c>
      <c r="B13" s="3" t="inlineStr">
        <is>
          <t>Exam row saved</t>
        </is>
      </c>
      <c r="C13" s="3" t="inlineStr">
        <is>
          <t>EXM-002</t>
        </is>
      </c>
      <c r="D13" s="3" t="inlineStr">
        <is>
          <t>1. Read exam_progress</t>
        </is>
      </c>
      <c r="E13" s="3" t="inlineStr">
        <is>
          <t>One row with attempts and pass flag</t>
        </is>
      </c>
      <c r="F13" s="3" t="inlineStr">
        <is>
          <t>P1</t>
        </is>
      </c>
      <c r="G13" s="3" t="n"/>
      <c r="H13" s="3" t="inlineStr">
        <is>
          <t>LX-42</t>
        </is>
      </c>
      <c r="I13" s="3" t="inlineStr">
        <is>
          <t>No</t>
        </is>
      </c>
    </row>
    <row r="14">
      <c r="F14" s="4" t="inlineStr">
        <is>
          <t>Coverage</t>
        </is>
      </c>
      <c r="G14" s="6">
        <f>IF(COUNTA(A2:A13)=0,0,(COUNTIF(G2:G13,"Passed")+COUNTIF(G2:G13,"Failed")+COUNTIF(G2:G13,"NA"))/COUNTA(A2:A13))</f>
        <v/>
      </c>
    </row>
  </sheetData>
  <conditionalFormatting sqref="G2:G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3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LRN-EXT-001</t>
        </is>
      </c>
      <c r="B2" s="3" t="inlineStr">
        <is>
          <t>YouTube API fails</t>
        </is>
      </c>
      <c r="C2" s="3" t="inlineStr">
        <is>
          <t>YouTube request blocked</t>
        </is>
      </c>
      <c r="D2" s="3" t="inlineStr">
        <is>
          <t>1. Open the course</t>
        </is>
      </c>
      <c r="E2" s="3" t="inlineStr">
        <is>
          <t>Lessons still list and open (durations/titles fall back); no crash</t>
        </is>
      </c>
      <c r="F2" s="3" t="inlineStr">
        <is>
          <t>P1</t>
        </is>
      </c>
      <c r="G2" s="3" t="n"/>
      <c r="H2" s="3" t="inlineStr">
        <is>
          <t>LX-52</t>
        </is>
      </c>
      <c r="I2" s="3" t="inlineStr">
        <is>
          <t>No</t>
        </is>
      </c>
    </row>
    <row r="3">
      <c r="A3" s="3" t="inlineStr">
        <is>
          <t>LRN-EXT-002</t>
        </is>
      </c>
      <c r="B3" s="3" t="inlineStr">
        <is>
          <t>Video does not load</t>
        </is>
      </c>
      <c r="C3" s="3" t="inlineStr">
        <is>
          <t>Embed blocked</t>
        </is>
      </c>
      <c r="D3" s="3" t="inlineStr">
        <is>
          <t>1. Open a lesson</t>
        </is>
      </c>
      <c r="E3" s="3" t="inlineStr">
        <is>
          <t>Player area shows an empty/error state; tabs and sidebar still work</t>
        </is>
      </c>
      <c r="F3" s="3" t="inlineStr">
        <is>
          <t>P2</t>
        </is>
      </c>
      <c r="G3" s="3" t="n"/>
      <c r="H3" s="3" t="inlineStr">
        <is>
          <t>LX-52</t>
        </is>
      </c>
      <c r="I3" s="3" t="inlineStr">
        <is>
          <t>No</t>
        </is>
      </c>
    </row>
    <row r="4">
      <c r="A4" s="3" t="inlineStr">
        <is>
          <t>LRN-EXT-003</t>
        </is>
      </c>
      <c r="B4" s="3" t="inlineStr">
        <is>
          <t>GitHub assignment file missing</t>
        </is>
      </c>
      <c r="C4" s="3" t="inlineStr">
        <is>
          <t>Raw URL returns 404</t>
        </is>
      </c>
      <c r="D4" s="3" t="inlineStr">
        <is>
          <t>1. Open Practice</t>
        </is>
      </c>
      <c r="E4" s="3" t="inlineStr">
        <is>
          <t>Lab shows an error message; page works</t>
        </is>
      </c>
      <c r="F4" s="3" t="inlineStr">
        <is>
          <t>P1</t>
        </is>
      </c>
      <c r="G4" s="3" t="n"/>
      <c r="H4" s="3" t="inlineStr">
        <is>
          <t>LX-53</t>
        </is>
      </c>
      <c r="I4" s="3" t="inlineStr">
        <is>
          <t>No</t>
        </is>
      </c>
    </row>
    <row r="5">
      <c r="A5" s="3" t="inlineStr">
        <is>
          <t>LRN-EXT-004</t>
        </is>
      </c>
      <c r="B5" s="3" t="inlineStr">
        <is>
          <t>Pyodide does not load</t>
        </is>
      </c>
      <c r="C5" s="3" t="inlineStr">
        <is>
          <t>CDN blocked</t>
        </is>
      </c>
      <c r="D5" s="3" t="inlineStr">
        <is>
          <t>1. Click Run</t>
        </is>
      </c>
      <c r="E5" s="3" t="inlineStr">
        <is>
          <t>Message explains Python could not start; no frozen button</t>
        </is>
      </c>
      <c r="F5" s="3" t="inlineStr">
        <is>
          <t>P1</t>
        </is>
      </c>
      <c r="G5" s="3" t="n"/>
      <c r="H5" s="3" t="inlineStr">
        <is>
          <t>LX-54</t>
        </is>
      </c>
      <c r="I5" s="3" t="inlineStr">
        <is>
          <t>No</t>
        </is>
      </c>
    </row>
    <row r="6">
      <c r="A6" s="3" t="inlineStr">
        <is>
          <t>LRN-EXT-005</t>
        </is>
      </c>
      <c r="B6" s="3" t="inlineStr">
        <is>
          <t>Monaco does not load</t>
        </is>
      </c>
      <c r="C6" s="3" t="inlineStr">
        <is>
          <t>CDN blocked</t>
        </is>
      </c>
      <c r="D6" s="3" t="inlineStr">
        <is>
          <t>1. Open Practice</t>
        </is>
      </c>
      <c r="E6" s="3" t="inlineStr">
        <is>
          <t>Fallback or message; rest of the page works</t>
        </is>
      </c>
      <c r="F6" s="3" t="inlineStr">
        <is>
          <t>P2</t>
        </is>
      </c>
      <c r="G6" s="3" t="n"/>
      <c r="H6" s="3" t="inlineStr">
        <is>
          <t>LX-54</t>
        </is>
      </c>
      <c r="I6" s="3" t="inlineStr">
        <is>
          <t>No</t>
        </is>
      </c>
    </row>
    <row r="7">
      <c r="A7" s="3" t="inlineStr">
        <is>
          <t>LRN-EXT-006</t>
        </is>
      </c>
      <c r="B7" s="3" t="inlineStr">
        <is>
          <t>Supabase progress read fails</t>
        </is>
      </c>
      <c r="C7" s="3" t="inlineStr">
        <is>
          <t>video_progress read forced to 500</t>
        </is>
      </c>
      <c r="D7" s="3" t="inlineStr">
        <is>
          <t>1. Open the course</t>
        </is>
      </c>
      <c r="E7" s="3" t="inlineStr">
        <is>
          <t>Curriculum loads; progress shows 0%; no crash</t>
        </is>
      </c>
      <c r="F7" s="3" t="inlineStr">
        <is>
          <t>P1</t>
        </is>
      </c>
      <c r="G7" s="3" t="n"/>
      <c r="H7" s="3" t="inlineStr">
        <is>
          <t>LX-55</t>
        </is>
      </c>
      <c r="I7" s="3" t="inlineStr">
        <is>
          <t>No</t>
        </is>
      </c>
    </row>
    <row r="8">
      <c r="A8" s="3" t="inlineStr">
        <is>
          <t>LRN-EXT-007</t>
        </is>
      </c>
      <c r="B8" s="3" t="inlineStr">
        <is>
          <t>Session expires mid-lesson</t>
        </is>
      </c>
      <c r="C8" s="3" t="inlineStr">
        <is>
          <t>Revoke the session</t>
        </is>
      </c>
      <c r="D8" s="3" t="inlineStr">
        <is>
          <t>1. Click Mark Complete</t>
        </is>
      </c>
      <c r="E8" s="3" t="inlineStr">
        <is>
          <t>Sign-in requested; no data loss on screen</t>
        </is>
      </c>
      <c r="F8" s="3" t="inlineStr">
        <is>
          <t>P2</t>
        </is>
      </c>
      <c r="G8" s="3" t="n"/>
      <c r="H8" s="3" t="inlineStr">
        <is>
          <t>LX-55</t>
        </is>
      </c>
      <c r="I8" s="3" t="inlineStr">
        <is>
          <t>No</t>
        </is>
      </c>
    </row>
    <row r="9">
      <c r="F9" s="4" t="inlineStr">
        <is>
          <t>Coverage</t>
        </is>
      </c>
      <c r="G9" s="6">
        <f>IF(COUNTA(A2:A8)=0,0,(COUNTIF(G2:G8,"Passed")+COUNTIF(G2:G8,"Failed")+COUNTIF(G2:G8,"NA"))/COUNTA(A2:A8))</f>
        <v/>
      </c>
    </row>
  </sheetData>
  <conditionalFormatting sqref="G2:G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8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LRN-MOB-001</t>
        </is>
      </c>
      <c r="B2" s="3" t="inlineStr">
        <is>
          <t>Course page on a 390 px phone</t>
        </is>
      </c>
      <c r="C2" s="3" t="inlineStr">
        <is>
          <t>S2 on a phone</t>
        </is>
      </c>
      <c r="D2" s="3" t="inlineStr">
        <is>
          <t>1. Open the course</t>
        </is>
      </c>
      <c r="E2" s="3" t="inlineStr">
        <is>
          <t>Player, tabs and curriculum reachable; no horizontal scroll (defect SCP-33)</t>
        </is>
      </c>
      <c r="F2" s="3" t="inlineStr">
        <is>
          <t>P1</t>
        </is>
      </c>
      <c r="G2" s="3" t="n"/>
      <c r="H2" s="3" t="inlineStr">
        <is>
          <t>LX-56</t>
        </is>
      </c>
      <c r="I2" s="3" t="inlineStr">
        <is>
          <t>No</t>
        </is>
      </c>
    </row>
    <row r="3">
      <c r="A3" s="3" t="inlineStr">
        <is>
          <t>LRN-MOB-002</t>
        </is>
      </c>
      <c r="B3" s="3" t="inlineStr">
        <is>
          <t>Python lab on a phone</t>
        </is>
      </c>
      <c r="C3" s="3" t="inlineStr">
        <is>
          <t>S2 on a phone</t>
        </is>
      </c>
      <c r="D3" s="3" t="inlineStr">
        <is>
          <t>1. Open Practice and Run</t>
        </is>
      </c>
      <c r="E3" s="3" t="inlineStr">
        <is>
          <t>Lab loads and runs (defect SCP-34)</t>
        </is>
      </c>
      <c r="F3" s="3" t="inlineStr">
        <is>
          <t>P1</t>
        </is>
      </c>
      <c r="G3" s="3" t="n"/>
      <c r="H3" s="3" t="inlineStr">
        <is>
          <t>LX-57</t>
        </is>
      </c>
      <c r="I3" s="3" t="inlineStr">
        <is>
          <t>No</t>
        </is>
      </c>
    </row>
    <row r="4">
      <c r="A4" s="3" t="inlineStr">
        <is>
          <t>LRN-MOB-003</t>
        </is>
      </c>
      <c r="B4" s="3" t="inlineStr">
        <is>
          <t>Tabs on a phone</t>
        </is>
      </c>
      <c r="C4" s="3" t="inlineStr">
        <is>
          <t>MOB-001</t>
        </is>
      </c>
      <c r="D4" s="3" t="inlineStr">
        <is>
          <t>1. Tap each tab</t>
        </is>
      </c>
      <c r="E4" s="3" t="inlineStr">
        <is>
          <t>Each shows its content</t>
        </is>
      </c>
      <c r="F4" s="3" t="inlineStr">
        <is>
          <t>P2</t>
        </is>
      </c>
      <c r="G4" s="3" t="n"/>
      <c r="H4" s="3" t="inlineStr">
        <is>
          <t>LX-56</t>
        </is>
      </c>
      <c r="I4" s="3" t="inlineStr">
        <is>
          <t>No</t>
        </is>
      </c>
    </row>
    <row r="5">
      <c r="A5" s="3" t="inlineStr">
        <is>
          <t>LRN-MOB-004</t>
        </is>
      </c>
      <c r="B5" s="3" t="inlineStr">
        <is>
          <t>Keyboard: lessons and tabs</t>
        </is>
      </c>
      <c r="C5" s="3" t="inlineStr">
        <is>
          <t>S2</t>
        </is>
      </c>
      <c r="D5" s="3" t="inlineStr">
        <is>
          <t>1. Tab through the sidebar and tabs 2. Enter</t>
        </is>
      </c>
      <c r="E5" s="3" t="inlineStr">
        <is>
          <t>Visible focus; lessons and tabs activate</t>
        </is>
      </c>
      <c r="F5" s="3" t="inlineStr">
        <is>
          <t>P1</t>
        </is>
      </c>
      <c r="G5" s="3" t="n"/>
      <c r="H5" s="3" t="inlineStr">
        <is>
          <t>LX-58</t>
        </is>
      </c>
      <c r="I5" s="3" t="inlineStr">
        <is>
          <t>No</t>
        </is>
      </c>
    </row>
    <row r="6">
      <c r="A6" s="3" t="inlineStr">
        <is>
          <t>LRN-MOB-005</t>
        </is>
      </c>
      <c r="B6" s="3" t="inlineStr">
        <is>
          <t>Keyboard: Run and Submit</t>
        </is>
      </c>
      <c r="C6" s="3" t="inlineStr">
        <is>
          <t>PY-001</t>
        </is>
      </c>
      <c r="D6" s="3" t="inlineStr">
        <is>
          <t>1. Tab to Run, Enter 2. Tab to Submit, Enter</t>
        </is>
      </c>
      <c r="E6" s="3" t="inlineStr">
        <is>
          <t>Both work</t>
        </is>
      </c>
      <c r="F6" s="3" t="inlineStr">
        <is>
          <t>P2</t>
        </is>
      </c>
      <c r="G6" s="3" t="n"/>
      <c r="H6" s="3" t="inlineStr">
        <is>
          <t>LX-58</t>
        </is>
      </c>
      <c r="I6" s="3" t="inlineStr">
        <is>
          <t>No</t>
        </is>
      </c>
    </row>
    <row r="7">
      <c r="A7" s="3" t="inlineStr">
        <is>
          <t>LRN-MOB-006</t>
        </is>
      </c>
      <c r="B7" s="3" t="inlineStr">
        <is>
          <t>Firefox smoke</t>
        </is>
      </c>
      <c r="C7" s="3" t="inlineStr">
        <is>
          <t>Firefox project</t>
        </is>
      </c>
      <c r="D7" s="3" t="inlineStr">
        <is>
          <t>1. Run LOAD-002, LOAD-005, PY-002, GIT-002</t>
        </is>
      </c>
      <c r="E7" s="3" t="inlineStr">
        <is>
          <t>Same as Chromium</t>
        </is>
      </c>
      <c r="F7" s="3" t="inlineStr">
        <is>
          <t>P1</t>
        </is>
      </c>
      <c r="G7" s="3" t="n"/>
      <c r="H7" s="3" t="inlineStr">
        <is>
          <t>LX-59</t>
        </is>
      </c>
      <c r="I7" s="3" t="inlineStr">
        <is>
          <t>No</t>
        </is>
      </c>
    </row>
    <row r="8">
      <c r="A8" s="3" t="inlineStr">
        <is>
          <t>LRN-MOB-007</t>
        </is>
      </c>
      <c r="B8" s="3" t="inlineStr">
        <is>
          <t>WebKit smoke</t>
        </is>
      </c>
      <c r="C8" s="3" t="inlineStr">
        <is>
          <t>WebKit project</t>
        </is>
      </c>
      <c r="D8" s="3" t="inlineStr">
        <is>
          <t>1. Run the same cases</t>
        </is>
      </c>
      <c r="E8" s="3" t="inlineStr">
        <is>
          <t>Same as Chromium</t>
        </is>
      </c>
      <c r="F8" s="3" t="inlineStr">
        <is>
          <t>P1</t>
        </is>
      </c>
      <c r="G8" s="3" t="n"/>
      <c r="H8" s="3" t="inlineStr">
        <is>
          <t>LX-59</t>
        </is>
      </c>
      <c r="I8" s="3" t="inlineStr">
        <is>
          <t>No</t>
        </is>
      </c>
    </row>
    <row r="9">
      <c r="F9" s="4" t="inlineStr">
        <is>
          <t>Coverage</t>
        </is>
      </c>
      <c r="G9" s="6">
        <f>IF(COUNTA(A2:A8)=0,0,(COUNTIF(G2:G8,"Passed")+COUNTIF(G2:G8,"Failed")+COUNTIF(G2:G8,"NA"))/COUNTA(A2:A8))</f>
        <v/>
      </c>
    </row>
  </sheetData>
  <conditionalFormatting sqref="G2:G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8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LRN-E2E-001</t>
        </is>
      </c>
      <c r="B2" s="3" t="inlineStr">
        <is>
          <t>Watch, complete, progress</t>
        </is>
      </c>
      <c r="C2" s="3" t="inlineStr">
        <is>
          <t>S2</t>
        </is>
      </c>
      <c r="D2" s="3" t="inlineStr">
        <is>
          <t>1. Dashboard 2. View Recordings 3. Open a lesson 4. Mark Complete 5. Reload</t>
        </is>
      </c>
      <c r="E2" s="3" t="inlineStr">
        <is>
          <t>Progress persists; dashboard XP rises after the next visit</t>
        </is>
      </c>
      <c r="F2" s="3" t="inlineStr">
        <is>
          <t>P0</t>
        </is>
      </c>
      <c r="G2" s="3" t="n"/>
      <c r="H2" s="3" t="inlineStr">
        <is>
          <t>LX-06/07</t>
        </is>
      </c>
      <c r="I2" s="3" t="inlineStr">
        <is>
          <t>No</t>
        </is>
      </c>
    </row>
    <row r="3">
      <c r="A3" s="3" t="inlineStr">
        <is>
          <t>LRN-E2E-002</t>
        </is>
      </c>
      <c r="B3" s="3" t="inlineStr">
        <is>
          <t>Python practice end to end</t>
        </is>
      </c>
      <c r="C3" s="3" t="inlineStr">
        <is>
          <t>S2</t>
        </is>
      </c>
      <c r="D3" s="3" t="inlineStr">
        <is>
          <t>1. Open a lab lesson 2. Run 3. Fix an error 4. Submit 5. View Solution</t>
        </is>
      </c>
      <c r="E3" s="3" t="inlineStr">
        <is>
          <t>Submitted; solution visible; code restored on reload</t>
        </is>
      </c>
      <c r="F3" s="3" t="inlineStr">
        <is>
          <t>P0</t>
        </is>
      </c>
      <c r="G3" s="3" t="n"/>
      <c r="H3" s="3" t="inlineStr">
        <is>
          <t>LX-17..25</t>
        </is>
      </c>
      <c r="I3" s="3" t="inlineStr">
        <is>
          <t>No</t>
        </is>
      </c>
    </row>
    <row r="4">
      <c r="A4" s="3" t="inlineStr">
        <is>
          <t>LRN-E2E-003</t>
        </is>
      </c>
      <c r="B4" s="3" t="inlineStr">
        <is>
          <t>Git practice end to end</t>
        </is>
      </c>
      <c r="C4" s="3" t="inlineStr">
        <is>
          <t>S1</t>
        </is>
      </c>
      <c r="D4" s="3" t="inlineStr">
        <is>
          <t>1. Open a Git lesson 2. add, commit, checkout -b 3. Git Graph 4. Submit</t>
        </is>
      </c>
      <c r="E4" s="3" t="inlineStr">
        <is>
          <t>Submitted; graph correct</t>
        </is>
      </c>
      <c r="F4" s="3" t="inlineStr">
        <is>
          <t>P0</t>
        </is>
      </c>
      <c r="G4" s="3" t="n"/>
      <c r="H4" s="3" t="inlineStr">
        <is>
          <t>LX-30..37</t>
        </is>
      </c>
      <c r="I4" s="3" t="inlineStr">
        <is>
          <t>No</t>
        </is>
      </c>
    </row>
    <row r="5">
      <c r="A5" s="3" t="inlineStr">
        <is>
          <t>LRN-E2E-004</t>
        </is>
      </c>
      <c r="B5" s="3" t="inlineStr">
        <is>
          <t>Stuck then helped</t>
        </is>
      </c>
      <c r="C5" s="3" t="inlineStr">
        <is>
          <t>S2</t>
        </is>
      </c>
      <c r="D5" s="3" t="inlineStr">
        <is>
          <t>1. Run broken code 2. Ask AI 3. Fix 4. Run</t>
        </is>
      </c>
      <c r="E5" s="3" t="inlineStr">
        <is>
          <t>Reply shown; fixed output</t>
        </is>
      </c>
      <c r="F5" s="3" t="inlineStr">
        <is>
          <t>P1</t>
        </is>
      </c>
      <c r="G5" s="3" t="n"/>
      <c r="H5" s="3" t="inlineStr">
        <is>
          <t>LX-38</t>
        </is>
      </c>
      <c r="I5" s="3" t="inlineStr">
        <is>
          <t>No</t>
        </is>
      </c>
    </row>
    <row r="6">
      <c r="A6" s="3" t="inlineStr">
        <is>
          <t>LRN-E2E-005</t>
        </is>
      </c>
      <c r="B6" s="3" t="inlineStr">
        <is>
          <t>Exam to certificate</t>
        </is>
      </c>
      <c r="C6" s="3" t="inlineStr">
        <is>
          <t>E1</t>
        </is>
      </c>
      <c r="D6" s="3" t="inlineStr">
        <is>
          <t>1. Submit the exam (pass) 2. Open an advanced lesson 3. Download the certificate</t>
        </is>
      </c>
      <c r="E6" s="3" t="inlineStr">
        <is>
          <t>Unlocked; certificate with the name</t>
        </is>
      </c>
      <c r="F6" s="3" t="inlineStr">
        <is>
          <t>P0</t>
        </is>
      </c>
      <c r="G6" s="3" t="n"/>
      <c r="H6" s="3" t="inlineStr">
        <is>
          <t>LX-43/48</t>
        </is>
      </c>
      <c r="I6" s="3" t="inlineStr">
        <is>
          <t>No</t>
        </is>
      </c>
    </row>
    <row r="7">
      <c r="A7" s="3" t="inlineStr">
        <is>
          <t>LRN-E2E-006</t>
        </is>
      </c>
      <c r="B7" s="3" t="inlineStr">
        <is>
          <t>Locked until passed</t>
        </is>
      </c>
      <c r="C7" s="3" t="inlineStr">
        <is>
          <t>S2</t>
        </is>
      </c>
      <c r="D7" s="3" t="inlineStr">
        <is>
          <t>1. Click an advanced lesson 2. Pass the exam 3. Click again</t>
        </is>
      </c>
      <c r="E7" s="3" t="inlineStr">
        <is>
          <t>Locked then open</t>
        </is>
      </c>
      <c r="F7" s="3" t="inlineStr">
        <is>
          <t>P0</t>
        </is>
      </c>
      <c r="G7" s="3" t="n"/>
      <c r="H7" s="3" t="inlineStr">
        <is>
          <t>LX-44/43</t>
        </is>
      </c>
      <c r="I7" s="3" t="inlineStr">
        <is>
          <t>No</t>
        </is>
      </c>
    </row>
    <row r="8">
      <c r="A8" s="3" t="inlineStr">
        <is>
          <t>LRN-E2E-007</t>
        </is>
      </c>
      <c r="B8" s="3" t="inlineStr">
        <is>
          <t>Service outage</t>
        </is>
      </c>
      <c r="C8" s="3" t="inlineStr">
        <is>
          <t>S2</t>
        </is>
      </c>
      <c r="D8" s="3" t="inlineStr">
        <is>
          <t>1. Block YouTube and GitHub 2. Use the page</t>
        </is>
      </c>
      <c r="E8" s="3" t="inlineStr">
        <is>
          <t>Local errors only; Back works</t>
        </is>
      </c>
      <c r="F8" s="3" t="inlineStr">
        <is>
          <t>P1</t>
        </is>
      </c>
      <c r="G8" s="3" t="n"/>
      <c r="H8" s="3" t="inlineStr">
        <is>
          <t>LX-52/53</t>
        </is>
      </c>
      <c r="I8" s="3" t="inlineStr">
        <is>
          <t>No</t>
        </is>
      </c>
    </row>
    <row r="9">
      <c r="A9" s="3" t="inlineStr">
        <is>
          <t>LRN-E2E-008</t>
        </is>
      </c>
      <c r="B9" s="3" t="inlineStr">
        <is>
          <t>Admin walk-through</t>
        </is>
      </c>
      <c r="C9" s="3" t="inlineStr">
        <is>
          <t>A1</t>
        </is>
      </c>
      <c r="D9" s="3" t="inlineStr">
        <is>
          <t>1. Open Course A 2. Open a locked lesson 3. Share a video</t>
        </is>
      </c>
      <c r="E9" s="3" t="inlineStr">
        <is>
          <t>All allowed</t>
        </is>
      </c>
      <c r="F9" s="3" t="inlineStr">
        <is>
          <t>P1</t>
        </is>
      </c>
      <c r="G9" s="3" t="n"/>
      <c r="H9" s="3" t="inlineStr">
        <is>
          <t>LX-47/51</t>
        </is>
      </c>
      <c r="I9" s="3" t="inlineStr">
        <is>
          <t>No</t>
        </is>
      </c>
    </row>
    <row r="10">
      <c r="F10" s="4" t="inlineStr">
        <is>
          <t>Coverage</t>
        </is>
      </c>
      <c r="G10" s="6">
        <f>IF(COUNTA(A2:A9)=0,0,(COUNTIF(G2:G9,"Passed")+COUNTIF(G2:G9,"Failed")+COUNTIF(G2:G9,"NA"))/COUNTA(A2:A9))</f>
        <v/>
      </c>
    </row>
  </sheetData>
  <conditionalFormatting sqref="G2:G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9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4" max="4"/>
  </cols>
  <sheetData>
    <row r="1">
      <c r="A1" s="4" t="inlineStr">
        <is>
          <t>Requirement</t>
        </is>
      </c>
      <c r="B1" s="4" t="inlineStr">
        <is>
          <t>Coverage Rate</t>
        </is>
      </c>
    </row>
    <row r="2">
      <c r="A2" t="inlineStr">
        <is>
          <t>FR1, FR2, FR3, FR5 — Page Load and Curriculum</t>
        </is>
      </c>
      <c r="B2" s="6">
        <f>'Page Load and Curriculum'!G14</f>
        <v/>
      </c>
      <c r="D2" s="4" t="inlineStr">
        <is>
          <t>Status</t>
        </is>
      </c>
      <c r="E2" s="4" t="inlineStr">
        <is>
          <t>Count</t>
        </is>
      </c>
    </row>
    <row r="3">
      <c r="A3" t="inlineStr">
        <is>
          <t>FR3, FR4, FR5, FR17 — Lesson Player and Progress</t>
        </is>
      </c>
      <c r="B3" s="6">
        <f>'Lesson Player and Progress'!G12</f>
        <v/>
      </c>
      <c r="D3" t="inlineStr">
        <is>
          <t>Passed</t>
        </is>
      </c>
      <c r="E3">
        <f>COUNTIF('Page Load and Curriculum'!G2:G13, "Passed") + COUNTIF('Lesson Player and Progress'!G2:G11, "Passed") + COUNTIF('Tabs QandA and Materials'!G2:G13, "Passed") + COUNTIF('Python Lab'!G2:G21, "Passed") + COUNTIF('Git Lab'!G2:G13, "Passed") + COUNTIF('AI Tutor'!G2:G8, "Passed") + COUNTIF('Final Exam Locks Certificate'!G2:G13, "Passed") + COUNTIF('Resilience to External Services'!G2:G8, "Passed") + COUNTIF('Mobile Keyboard and Browsers'!G2:G8, "Passed") + COUNTIF('End-to-End Business-Critical'!G2:G9, "Passed")</f>
        <v/>
      </c>
    </row>
    <row r="4">
      <c r="A4" t="inlineStr">
        <is>
          <t>FR6, FR15, FR16 — Tabs Q&amp;A and Materials</t>
        </is>
      </c>
      <c r="B4" s="6">
        <f>'Tabs QandA and Materials'!G14</f>
        <v/>
      </c>
      <c r="D4" t="inlineStr">
        <is>
          <t>Failed</t>
        </is>
      </c>
      <c r="E4">
        <f>COUNTIF('Page Load and Curriculum'!G2:G13, "Failed") + COUNTIF('Lesson Player and Progress'!G2:G11, "Failed") + COUNTIF('Tabs QandA and Materials'!G2:G13, "Failed") + COUNTIF('Python Lab'!G2:G21, "Failed") + COUNTIF('Git Lab'!G2:G13, "Failed") + COUNTIF('AI Tutor'!G2:G8, "Failed") + COUNTIF('Final Exam Locks Certificate'!G2:G13, "Failed") + COUNTIF('Resilience to External Services'!G2:G8, "Failed") + COUNTIF('Mobile Keyboard and Browsers'!G2:G8, "Failed") + COUNTIF('End-to-End Business-Critical'!G2:G9, "Failed")</f>
        <v/>
      </c>
    </row>
    <row r="5">
      <c r="A5" t="inlineStr">
        <is>
          <t>FR7, FR8, FR9 — Python Lab</t>
        </is>
      </c>
      <c r="B5" s="6">
        <f>'Python Lab'!G22</f>
        <v/>
      </c>
      <c r="D5" t="inlineStr">
        <is>
          <t>Not Applicable</t>
        </is>
      </c>
      <c r="E5">
        <f>COUNTIF('Page Load and Curriculum'!G2:G13, "NA") + COUNTIF('Lesson Player and Progress'!G2:G11, "NA") + COUNTIF('Tabs QandA and Materials'!G2:G13, "NA") + COUNTIF('Python Lab'!G2:G21, "NA") + COUNTIF('Git Lab'!G2:G13, "NA") + COUNTIF('AI Tutor'!G2:G8, "NA") + COUNTIF('Final Exam Locks Certificate'!G2:G13, "NA") + COUNTIF('Resilience to External Services'!G2:G8, "NA") + COUNTIF('Mobile Keyboard and Browsers'!G2:G8, "NA") + COUNTIF('End-to-End Business-Critical'!G2:G9, "NA")</f>
        <v/>
      </c>
    </row>
    <row r="6">
      <c r="A6" t="inlineStr">
        <is>
          <t>FR10 — Git Lab</t>
        </is>
      </c>
      <c r="B6" s="6">
        <f>'Git Lab'!G14</f>
        <v/>
      </c>
      <c r="D6" t="inlineStr">
        <is>
          <t>Not Tested Yet</t>
        </is>
      </c>
      <c r="E6">
        <f>E7-E3-E4-E5</f>
        <v/>
      </c>
    </row>
    <row r="7">
      <c r="A7" t="inlineStr">
        <is>
          <t>FR14 — AI Tutor</t>
        </is>
      </c>
      <c r="B7" s="6">
        <f>'AI Tutor'!G9</f>
        <v/>
      </c>
      <c r="D7" t="inlineStr">
        <is>
          <t>Total Test Cases</t>
        </is>
      </c>
      <c r="E7">
        <f>COUNTA('Page Load and Curriculum'!A2:A13) + COUNTA('Lesson Player and Progress'!A2:A11) + COUNTA('Tabs QandA and Materials'!A2:A13) + COUNTA('Python Lab'!A2:A21) + COUNTA('Git Lab'!A2:A13) + COUNTA('AI Tutor'!A2:A8) + COUNTA('Final Exam Locks Certificate'!A2:A13) + COUNTA('Resilience to External Services'!A2:A8) + COUNTA('Mobile Keyboard and Browsers'!A2:A8) + COUNTA('End-to-End Business-Critical'!A2:A9)</f>
        <v/>
      </c>
    </row>
    <row r="8">
      <c r="A8" t="inlineStr">
        <is>
          <t>FR11, FR12, FR13 — Final Exam Locks Certificate</t>
        </is>
      </c>
      <c r="B8" s="6">
        <f>'Final Exam Locks Certificate'!G14</f>
        <v/>
      </c>
    </row>
    <row r="9">
      <c r="A9" t="inlineStr">
        <is>
          <t>FR18 — Resilience to External Services</t>
        </is>
      </c>
      <c r="B9" s="6">
        <f>'Resilience to External Services'!G9</f>
        <v/>
      </c>
    </row>
    <row r="10">
      <c r="A10" t="inlineStr">
        <is>
          <t>FR19, FR20 — Mobile Keyboard and Browsers</t>
        </is>
      </c>
      <c r="B10" s="6">
        <f>'Mobile Keyboard and Browsers'!G9</f>
        <v/>
      </c>
    </row>
    <row r="11">
      <c r="A11" t="inlineStr">
        <is>
          <t>FR1 to FR13 (journeys) — End-to-End Business-Critical</t>
        </is>
      </c>
      <c r="B11" s="6">
        <f>'End-to-End Business-Critical'!G10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2026-10-29T08:36:37Z</dcterms:created>
  <dcterms:modified xsi:type="dcterms:W3CDTF">2026-10-29T08:36:37Z</dcterms:modified>
</cp:coreProperties>
</file>