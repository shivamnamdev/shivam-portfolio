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User Data" sheetId="1" state="visible" r:id="rId1"/>
    <sheet name="Clerk Webhook" sheetId="2" state="visible" r:id="rId2"/>
    <sheet name="User Directory API" sheetId="3" state="visible" r:id="rId3"/>
    <sheet name="User Lookup API" sheetId="4" state="visible" r:id="rId4"/>
    <sheet name="Traceability to Functional Requ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3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0" applyAlignment="1" pivotButton="0" quotePrefix="0" xfId="0">
      <alignment vertical="top" wrapText="1"/>
    </xf>
    <xf numFmtId="9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bgColor rgb="00B7E1CD"/>
        </patternFill>
      </fill>
    </dxf>
    <dxf>
      <fill>
        <patternFill patternType="solid">
          <bgColor rgb="00F4C7C3"/>
        </patternFill>
      </fill>
    </dxf>
    <dxf>
      <fill>
        <patternFill patternType="solid">
          <bgColor rgb="00FCE8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Execution status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'Traceability to Functional Requ'!$D$3:$D$6</f>
            </numRef>
          </cat>
          <val>
            <numRef>
              <f>'Traceability to Functional Requ'!$E$3:$E$6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39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42" customWidth="1" min="3" max="3"/>
  </cols>
  <sheetData>
    <row r="2">
      <c r="A2" s="1" t="inlineStr">
        <is>
          <t>Test Data / User Accounts</t>
        </is>
      </c>
    </row>
    <row r="3">
      <c r="A3" s="2" t="inlineStr">
        <is>
          <t>Test Data</t>
        </is>
      </c>
      <c r="B3" s="2" t="inlineStr">
        <is>
          <t>Description</t>
        </is>
      </c>
      <c r="C3" s="2" t="inlineStr">
        <is>
          <t>User ID</t>
        </is>
      </c>
    </row>
    <row r="4">
      <c r="A4" s="3" t="inlineStr">
        <is>
          <t>V1</t>
        </is>
      </c>
      <c r="B4" s="3" t="inlineStr">
        <is>
          <t>Caller without a session</t>
        </is>
      </c>
      <c r="C4" s="3" t="inlineStr">
        <is>
          <t>NA</t>
        </is>
      </c>
    </row>
    <row r="5">
      <c r="A5" s="3" t="inlineStr">
        <is>
          <t>A1</t>
        </is>
      </c>
      <c r="B5" s="3" t="inlineStr">
        <is>
          <t>Admin (the only caller allowed on the user routes)</t>
        </is>
      </c>
      <c r="C5" s="3" t="inlineStr">
        <is>
          <t>shivamnamdev.corp@gmail.com</t>
        </is>
      </c>
    </row>
    <row r="6">
      <c r="A6" s="3" t="inlineStr">
        <is>
          <t>L1</t>
        </is>
      </c>
      <c r="B6" s="3" t="inlineStr">
        <is>
          <t>Signed-in learner (negative access)</t>
        </is>
      </c>
      <c r="C6" s="3" t="inlineStr">
        <is>
          <t>mavish.ps8@gmail.com</t>
        </is>
      </c>
    </row>
    <row r="7">
      <c r="A7" s="3" t="inlineStr">
        <is>
          <t>WH</t>
        </is>
      </c>
      <c r="B7" s="3" t="inlineStr">
        <is>
          <t>Webhook caller: signs the body with CLERK_WEBHOOK_SECRET using svix, exactly as Clerk does</t>
        </is>
      </c>
      <c r="C7" s="3" t="inlineStr">
        <is>
          <t>svix</t>
        </is>
      </c>
    </row>
    <row r="8">
      <c r="A8" s="3" t="inlineStr">
        <is>
          <t>ID</t>
        </is>
      </c>
      <c r="B8" s="3" t="inlineStr">
        <is>
          <t>Clerk ids resolved by e-mail at run time (edu, mavish, bazar, corp)</t>
        </is>
      </c>
      <c r="C8" s="3" t="inlineStr">
        <is>
          <t>Clerk API</t>
        </is>
      </c>
    </row>
    <row r="10">
      <c r="A10" s="4" t="inlineStr">
        <is>
          <t>Notes</t>
        </is>
      </c>
      <c r="B10" s="3" t="inlineStr">
        <is>
          <t>Webhook cases only use events that cannot send an e-mail (a user.created without an address logs the signup and sends nothing). Signup log rows tagged QA-WEBHOOK are removed after each case. Expected codes describe a correct API; known failures are marked.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CLKA-WHK-001</t>
        </is>
      </c>
      <c r="B2" s="3" t="inlineStr">
        <is>
          <t>No svix headers</t>
        </is>
      </c>
      <c r="C2" s="3" t="inlineStr">
        <is>
          <t>V1</t>
        </is>
      </c>
      <c r="D2" s="3" t="inlineStr">
        <is>
          <t>1. POST /api/webhooks/clerk with no svix headers</t>
        </is>
      </c>
      <c r="E2" s="3" t="inlineStr">
        <is>
          <t>400; no log row</t>
        </is>
      </c>
      <c r="F2" s="3" t="inlineStr">
        <is>
          <t>P0</t>
        </is>
      </c>
      <c r="G2" s="3" t="n"/>
      <c r="H2" s="3" t="inlineStr">
        <is>
          <t>CA-01</t>
        </is>
      </c>
      <c r="I2" s="3" t="inlineStr">
        <is>
          <t>tests/api/clerk-apis.spec.ts</t>
        </is>
      </c>
    </row>
    <row r="3">
      <c r="A3" s="3" t="inlineStr">
        <is>
          <t>CLKA-WHK-002</t>
        </is>
      </c>
      <c r="B3" s="3" t="inlineStr">
        <is>
          <t>Forged signature</t>
        </is>
      </c>
      <c r="C3" s="3" t="inlineStr">
        <is>
          <t>V1</t>
        </is>
      </c>
      <c r="D3" s="3" t="inlineStr">
        <is>
          <t>1. POST with svix-signature 'v1,Zm9yZ2Vk'</t>
        </is>
      </c>
      <c r="E3" s="3" t="inlineStr">
        <is>
          <t>400; no log row</t>
        </is>
      </c>
      <c r="F3" s="3" t="inlineStr">
        <is>
          <t>P0</t>
        </is>
      </c>
      <c r="G3" s="3" t="n"/>
      <c r="H3" s="3" t="inlineStr">
        <is>
          <t>CA-01</t>
        </is>
      </c>
      <c r="I3" s="3" t="inlineStr">
        <is>
          <t>tests/api/clerk-apis.spec.ts</t>
        </is>
      </c>
    </row>
    <row r="4">
      <c r="A4" s="3" t="inlineStr">
        <is>
          <t>CLKA-WHK-003</t>
        </is>
      </c>
      <c r="B4" s="3" t="inlineStr">
        <is>
          <t>Old message</t>
        </is>
      </c>
      <c r="C4" s="3" t="inlineStr">
        <is>
          <t>WH</t>
        </is>
      </c>
      <c r="D4" s="3" t="inlineStr">
        <is>
          <t>1. Sign a message dated 20 minutes ago and POST</t>
        </is>
      </c>
      <c r="E4" s="3" t="inlineStr">
        <is>
          <t>400 (older than five minutes)</t>
        </is>
      </c>
      <c r="F4" s="3" t="inlineStr">
        <is>
          <t>P0</t>
        </is>
      </c>
      <c r="G4" s="3" t="n"/>
      <c r="H4" s="3" t="inlineStr">
        <is>
          <t>CA-02</t>
        </is>
      </c>
      <c r="I4" s="3" t="inlineStr">
        <is>
          <t>tests/api/clerk-apis.spec.ts</t>
        </is>
      </c>
    </row>
    <row r="5">
      <c r="A5" s="3" t="inlineStr">
        <is>
          <t>CLKA-WHK-004</t>
        </is>
      </c>
      <c r="B5" s="3" t="inlineStr">
        <is>
          <t>Wrong secret</t>
        </is>
      </c>
      <c r="C5" s="3" t="inlineStr">
        <is>
          <t>WH</t>
        </is>
      </c>
      <c r="D5" s="3" t="inlineStr">
        <is>
          <t>1. Sign with another secret and POST</t>
        </is>
      </c>
      <c r="E5" s="3" t="inlineStr">
        <is>
          <t>400</t>
        </is>
      </c>
      <c r="F5" s="3" t="inlineStr">
        <is>
          <t>P0</t>
        </is>
      </c>
      <c r="G5" s="3" t="n"/>
      <c r="H5" s="3" t="inlineStr">
        <is>
          <t>CA-01</t>
        </is>
      </c>
      <c r="I5" s="3" t="inlineStr">
        <is>
          <t>tests/api/clerk-apis.spec.ts</t>
        </is>
      </c>
    </row>
    <row r="6">
      <c r="A6" s="3" t="inlineStr">
        <is>
          <t>CLKA-WHK-005</t>
        </is>
      </c>
      <c r="B6" s="3" t="inlineStr">
        <is>
          <t>Body changed after signing</t>
        </is>
      </c>
      <c r="C6" s="3" t="inlineStr">
        <is>
          <t>WH</t>
        </is>
      </c>
      <c r="D6" s="3" t="inlineStr">
        <is>
          <t>1. Sign one body, send another</t>
        </is>
      </c>
      <c r="E6" s="3" t="inlineStr">
        <is>
          <t>400</t>
        </is>
      </c>
      <c r="F6" s="3" t="inlineStr">
        <is>
          <t>P0</t>
        </is>
      </c>
      <c r="G6" s="3" t="n"/>
      <c r="H6" s="3" t="inlineStr">
        <is>
          <t>CA-01</t>
        </is>
      </c>
      <c r="I6" s="3" t="inlineStr">
        <is>
          <t>tests/api/clerk-apis.spec.ts</t>
        </is>
      </c>
    </row>
    <row r="7">
      <c r="A7" s="3" t="inlineStr">
        <is>
          <t>CLKA-WHK-006</t>
        </is>
      </c>
      <c r="B7" s="3" t="inlineStr">
        <is>
          <t>Signed user.created</t>
        </is>
      </c>
      <c r="C7" s="3" t="inlineStr">
        <is>
          <t>WH</t>
        </is>
      </c>
      <c r="D7" s="3" t="inlineStr">
        <is>
          <t>1. Send user.created with no e-mail address</t>
        </is>
      </c>
      <c r="E7" s="3" t="inlineStr">
        <is>
          <t>200 {success:true}; one 'signup' activity row 'New Account Created: …' with e-mail 'No email'</t>
        </is>
      </c>
      <c r="F7" s="3" t="inlineStr">
        <is>
          <t>P0</t>
        </is>
      </c>
      <c r="G7" s="3" t="n"/>
      <c r="H7" s="3" t="inlineStr">
        <is>
          <t>CA-03</t>
        </is>
      </c>
      <c r="I7" s="3" t="inlineStr">
        <is>
          <t>tests/api/clerk-apis.spec.ts</t>
        </is>
      </c>
    </row>
    <row r="8">
      <c r="A8" s="3" t="inlineStr">
        <is>
          <t>CLKA-WHK-007</t>
        </is>
      </c>
      <c r="B8" s="3" t="inlineStr">
        <is>
          <t>Other event type</t>
        </is>
      </c>
      <c r="C8" s="3" t="inlineStr">
        <is>
          <t>WH</t>
        </is>
      </c>
      <c r="D8" s="3" t="inlineStr">
        <is>
          <t>1. Send a signed user.updated</t>
        </is>
      </c>
      <c r="E8" s="3" t="inlineStr">
        <is>
          <t>200; no log row</t>
        </is>
      </c>
      <c r="F8" s="3" t="inlineStr">
        <is>
          <t>P1</t>
        </is>
      </c>
      <c r="G8" s="3" t="n"/>
      <c r="H8" s="3" t="inlineStr">
        <is>
          <t>CA-04</t>
        </is>
      </c>
      <c r="I8" s="3" t="inlineStr">
        <is>
          <t>tests/api/clerk-apis.spec.ts</t>
        </is>
      </c>
    </row>
    <row r="9">
      <c r="A9" s="3" t="inlineStr">
        <is>
          <t>CLKA-WHK-008</t>
        </is>
      </c>
      <c r="B9" s="3" t="inlineStr">
        <is>
          <t>Same message delivered twice</t>
        </is>
      </c>
      <c r="C9" s="3" t="inlineStr">
        <is>
          <t>WH</t>
        </is>
      </c>
      <c r="D9" s="3" t="inlineStr">
        <is>
          <t>1. POST the same signed message twice (a Clerk retry)</t>
        </is>
      </c>
      <c r="E9" s="3" t="inlineStr">
        <is>
          <t>One log row (known failure: two rows; a retry would also send two welcome e-mails)</t>
        </is>
      </c>
      <c r="F9" s="3" t="inlineStr">
        <is>
          <t>P1</t>
        </is>
      </c>
      <c r="G9" s="3" t="n"/>
      <c r="H9" s="3" t="inlineStr">
        <is>
          <t>CA-05</t>
        </is>
      </c>
      <c r="I9" s="3" t="inlineStr">
        <is>
          <t>tests/api/clerk-apis.spec.ts (known failure)</t>
        </is>
      </c>
    </row>
    <row r="10">
      <c r="A10" s="3" t="inlineStr">
        <is>
          <t>CLKA-WHK-009</t>
        </is>
      </c>
      <c r="B10" s="3" t="inlineStr">
        <is>
          <t>user.created without email_addresses</t>
        </is>
      </c>
      <c r="C10" s="3" t="inlineStr">
        <is>
          <t>WH</t>
        </is>
      </c>
      <c r="D10" s="3" t="inlineStr">
        <is>
          <t>1. Send user.created with no email_addresses field</t>
        </is>
      </c>
      <c r="E10" s="3" t="inlineStr">
        <is>
          <t>A 2xx or 4xx answer, not 500 (known failure: 500, Clerk would retry for days)</t>
        </is>
      </c>
      <c r="F10" s="3" t="inlineStr">
        <is>
          <t>P1</t>
        </is>
      </c>
      <c r="G10" s="3" t="n"/>
      <c r="H10" s="3" t="inlineStr">
        <is>
          <t>CA-06</t>
        </is>
      </c>
      <c r="I10" s="3" t="inlineStr">
        <is>
          <t>tests/api/clerk-apis.spec.ts (known failure)</t>
        </is>
      </c>
    </row>
    <row r="11">
      <c r="A11" s="3" t="inlineStr">
        <is>
          <t>CLKA-WHK-010</t>
        </is>
      </c>
      <c r="B11" s="3" t="inlineStr">
        <is>
          <t>GET</t>
        </is>
      </c>
      <c r="C11" s="3" t="inlineStr">
        <is>
          <t>V1</t>
        </is>
      </c>
      <c r="D11" s="3" t="inlineStr">
        <is>
          <t>1. GET /api/webhooks/clerk</t>
        </is>
      </c>
      <c r="E11" s="3" t="inlineStr">
        <is>
          <t>405</t>
        </is>
      </c>
      <c r="F11" s="3" t="inlineStr">
        <is>
          <t>P2</t>
        </is>
      </c>
      <c r="G11" s="3" t="n"/>
      <c r="H11" s="3" t="inlineStr">
        <is>
          <t>CA-01</t>
        </is>
      </c>
      <c r="I11" s="3" t="inlineStr">
        <is>
          <t>tests/api/clerk-apis.spec.ts</t>
        </is>
      </c>
    </row>
    <row r="12">
      <c r="A12" s="3" t="inlineStr">
        <is>
          <t>CLKA-WHK-011</t>
        </is>
      </c>
      <c r="B12" s="3" t="inlineStr">
        <is>
          <t>Welcome and admin e-mails on a real signup</t>
        </is>
      </c>
      <c r="C12" s="3" t="inlineStr">
        <is>
          <t>A new Clerk user</t>
        </is>
      </c>
      <c r="D12" s="3" t="inlineStr">
        <is>
          <t>1. Sign up a new user 2. Check both inboxes</t>
        </is>
      </c>
      <c r="E12" s="3" t="inlineStr">
        <is>
          <t>One welcome e-mail to the new user, one 'NEW USER SIGNUP' e-mail to the owner</t>
        </is>
      </c>
      <c r="F12" s="3" t="inlineStr">
        <is>
          <t>P1</t>
        </is>
      </c>
      <c r="G12" s="3" t="n"/>
      <c r="H12" s="3" t="inlineStr">
        <is>
          <t>CA-07</t>
        </is>
      </c>
      <c r="I12" s="3" t="inlineStr">
        <is>
          <t>No (needs a real signup and mailbox access; owner checks manually)</t>
        </is>
      </c>
    </row>
    <row r="13">
      <c r="F13" s="4" t="inlineStr">
        <is>
          <t>Coverage</t>
        </is>
      </c>
      <c r="G13" s="6">
        <f>IF(COUNTA(A2:A12)=0,0,(COUNTIF(G2:G12,"Passed")+COUNTIF(G2:G12,"Failed")+COUNTIF(G2:G12,"NA"))/COUNTA(A2:A12))</f>
        <v/>
      </c>
    </row>
  </sheetData>
  <conditionalFormatting sqref="G2:G12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12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CLKA-USR-001</t>
        </is>
      </c>
      <c r="B2" s="3" t="inlineStr">
        <is>
          <t>Visitor</t>
        </is>
      </c>
      <c r="C2" s="3" t="inlineStr">
        <is>
          <t>V1</t>
        </is>
      </c>
      <c r="D2" s="3" t="inlineStr">
        <is>
          <t>1. GET /api/get-all-users</t>
        </is>
      </c>
      <c r="E2" s="3" t="inlineStr">
        <is>
          <t>401</t>
        </is>
      </c>
      <c r="F2" s="3" t="inlineStr">
        <is>
          <t>P0</t>
        </is>
      </c>
      <c r="G2" s="3" t="n"/>
      <c r="H2" s="3" t="inlineStr">
        <is>
          <t>CA-08</t>
        </is>
      </c>
      <c r="I2" s="3" t="inlineStr">
        <is>
          <t>tests/api/clerk-apis.spec.ts</t>
        </is>
      </c>
    </row>
    <row r="3">
      <c r="A3" s="3" t="inlineStr">
        <is>
          <t>CLKA-USR-002</t>
        </is>
      </c>
      <c r="B3" s="3" t="inlineStr">
        <is>
          <t>Learner</t>
        </is>
      </c>
      <c r="C3" s="3" t="inlineStr">
        <is>
          <t>L1</t>
        </is>
      </c>
      <c r="D3" s="3" t="inlineStr">
        <is>
          <t>1. GET /api/get-all-users</t>
        </is>
      </c>
      <c r="E3" s="3" t="inlineStr">
        <is>
          <t>403; no e-mail addresses in the body</t>
        </is>
      </c>
      <c r="F3" s="3" t="inlineStr">
        <is>
          <t>P0</t>
        </is>
      </c>
      <c r="G3" s="3" t="n"/>
      <c r="H3" s="3" t="inlineStr">
        <is>
          <t>CA-08</t>
        </is>
      </c>
      <c r="I3" s="3" t="inlineStr">
        <is>
          <t>tests/api/clerk-apis.spec.ts</t>
        </is>
      </c>
    </row>
    <row r="4">
      <c r="A4" s="3" t="inlineStr">
        <is>
          <t>CLKA-USR-003</t>
        </is>
      </c>
      <c r="B4" s="3" t="inlineStr">
        <is>
          <t>Admin gets the directory</t>
        </is>
      </c>
      <c r="C4" s="3" t="inlineStr">
        <is>
          <t>A1</t>
        </is>
      </c>
      <c r="D4" s="3" t="inlineStr">
        <is>
          <t>1. GET /api/get-all-users</t>
        </is>
      </c>
      <c r="E4" s="3" t="inlineStr">
        <is>
          <t>200 {success:true, users[]}; each user has exactly id, name, email, joinedAt, image</t>
        </is>
      </c>
      <c r="F4" s="3" t="inlineStr">
        <is>
          <t>P0</t>
        </is>
      </c>
      <c r="G4" s="3" t="n"/>
      <c r="H4" s="3" t="inlineStr">
        <is>
          <t>CA-09</t>
        </is>
      </c>
      <c r="I4" s="3" t="inlineStr">
        <is>
          <t>tests/api/clerk-apis.spec.ts</t>
        </is>
      </c>
    </row>
    <row r="5">
      <c r="A5" s="3" t="inlineStr">
        <is>
          <t>CLKA-USR-004</t>
        </is>
      </c>
      <c r="B5" s="3" t="inlineStr">
        <is>
          <t>The four personas are listed</t>
        </is>
      </c>
      <c r="C5" s="3" t="inlineStr">
        <is>
          <t>A1</t>
        </is>
      </c>
      <c r="D5" s="3" t="inlineStr">
        <is>
          <t>1. Find each persona by e-mail</t>
        </is>
      </c>
      <c r="E5" s="3" t="inlineStr">
        <is>
          <t>Present; ids equal the Clerk ids</t>
        </is>
      </c>
      <c r="F5" s="3" t="inlineStr">
        <is>
          <t>P1</t>
        </is>
      </c>
      <c r="G5" s="3" t="n"/>
      <c r="H5" s="3" t="inlineStr">
        <is>
          <t>CA-09</t>
        </is>
      </c>
      <c r="I5" s="3" t="inlineStr">
        <is>
          <t>tests/api/clerk-apis.spec.ts</t>
        </is>
      </c>
    </row>
    <row r="6">
      <c r="A6" s="3" t="inlineStr">
        <is>
          <t>CLKA-USR-005</t>
        </is>
      </c>
      <c r="B6" s="3" t="inlineStr">
        <is>
          <t>Newest first, not cacheable</t>
        </is>
      </c>
      <c r="C6" s="3" t="inlineStr">
        <is>
          <t>A1</t>
        </is>
      </c>
      <c r="D6" s="3" t="inlineStr">
        <is>
          <t>1. Read joinedAt order and Cache-Control</t>
        </is>
      </c>
      <c r="E6" s="3" t="inlineStr">
        <is>
          <t>Descending; no public caching</t>
        </is>
      </c>
      <c r="F6" s="3" t="inlineStr">
        <is>
          <t>P1</t>
        </is>
      </c>
      <c r="G6" s="3" t="n"/>
      <c r="H6" s="3" t="inlineStr">
        <is>
          <t>CA-10</t>
        </is>
      </c>
      <c r="I6" s="3" t="inlineStr">
        <is>
          <t>tests/api/clerk-apis.spec.ts</t>
        </is>
      </c>
    </row>
    <row r="7">
      <c r="A7" s="3" t="inlineStr">
        <is>
          <t>CLKA-USR-006</t>
        </is>
      </c>
      <c r="B7" s="3" t="inlineStr">
        <is>
          <t>Other methods</t>
        </is>
      </c>
      <c r="C7" s="3" t="inlineStr">
        <is>
          <t>A1</t>
        </is>
      </c>
      <c r="D7" s="3" t="inlineStr">
        <is>
          <t>1. POST /api/get-all-users</t>
        </is>
      </c>
      <c r="E7" s="3" t="inlineStr">
        <is>
          <t>405</t>
        </is>
      </c>
      <c r="F7" s="3" t="inlineStr">
        <is>
          <t>P2</t>
        </is>
      </c>
      <c r="G7" s="3" t="n"/>
      <c r="H7" s="3" t="inlineStr">
        <is>
          <t>CA-08</t>
        </is>
      </c>
      <c r="I7" s="3" t="inlineStr">
        <is>
          <t>tests/api/clerk-apis.spec.ts</t>
        </is>
      </c>
    </row>
    <row r="8">
      <c r="F8" s="4" t="inlineStr">
        <is>
          <t>Coverage</t>
        </is>
      </c>
      <c r="G8" s="6">
        <f>IF(COUNTA(A2:A7)=0,0,(COUNTIF(G2:G7,"Passed")+COUNTIF(G2:G7,"Failed")+COUNTIF(G2:G7,"NA"))/COUNTA(A2:A7))</f>
        <v/>
      </c>
    </row>
  </sheetData>
  <conditionalFormatting sqref="G2:G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7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CLKA-LKP-001</t>
        </is>
      </c>
      <c r="B2" s="3" t="inlineStr">
        <is>
          <t>Visitor</t>
        </is>
      </c>
      <c r="C2" s="3" t="inlineStr">
        <is>
          <t>V1</t>
        </is>
      </c>
      <c r="D2" s="3" t="inlineStr">
        <is>
          <t>1. POST /api/get-clerk-users</t>
        </is>
      </c>
      <c r="E2" s="3" t="inlineStr">
        <is>
          <t>401</t>
        </is>
      </c>
      <c r="F2" s="3" t="inlineStr">
        <is>
          <t>P0</t>
        </is>
      </c>
      <c r="G2" s="3" t="n"/>
      <c r="H2" s="3" t="inlineStr">
        <is>
          <t>CA-11</t>
        </is>
      </c>
      <c r="I2" s="3" t="inlineStr">
        <is>
          <t>tests/api/clerk-apis.spec.ts</t>
        </is>
      </c>
    </row>
    <row r="3">
      <c r="A3" s="3" t="inlineStr">
        <is>
          <t>CLKA-LKP-002</t>
        </is>
      </c>
      <c r="B3" s="3" t="inlineStr">
        <is>
          <t>Learner</t>
        </is>
      </c>
      <c r="C3" s="3" t="inlineStr">
        <is>
          <t>L1</t>
        </is>
      </c>
      <c r="D3" s="3" t="inlineStr">
        <is>
          <t>1. POST with a valid id</t>
        </is>
      </c>
      <c r="E3" s="3" t="inlineStr">
        <is>
          <t>403; no e-mail in the body</t>
        </is>
      </c>
      <c r="F3" s="3" t="inlineStr">
        <is>
          <t>P0</t>
        </is>
      </c>
      <c r="G3" s="3" t="n"/>
      <c r="H3" s="3" t="inlineStr">
        <is>
          <t>CA-11</t>
        </is>
      </c>
      <c r="I3" s="3" t="inlineStr">
        <is>
          <t>tests/api/clerk-apis.spec.ts</t>
        </is>
      </c>
    </row>
    <row r="4">
      <c r="A4" s="3" t="inlineStr">
        <is>
          <t>CLKA-LKP-003</t>
        </is>
      </c>
      <c r="B4" s="3" t="inlineStr">
        <is>
          <t>Empty input</t>
        </is>
      </c>
      <c r="C4" s="3" t="inlineStr">
        <is>
          <t>A1</t>
        </is>
      </c>
      <c r="D4" s="3" t="inlineStr">
        <is>
          <t>1. POST {}, [], 'user_x', null as userIds</t>
        </is>
      </c>
      <c r="E4" s="3" t="inlineStr">
        <is>
          <t>200 {success:true, users:{}}</t>
        </is>
      </c>
      <c r="F4" s="3" t="inlineStr">
        <is>
          <t>P1</t>
        </is>
      </c>
      <c r="G4" s="3" t="n"/>
      <c r="H4" s="3" t="inlineStr">
        <is>
          <t>CA-12</t>
        </is>
      </c>
      <c r="I4" s="3" t="inlineStr">
        <is>
          <t>tests/api/clerk-apis.spec.ts</t>
        </is>
      </c>
    </row>
    <row r="5">
      <c r="A5" s="3" t="inlineStr">
        <is>
          <t>CLKA-LKP-004</t>
        </is>
      </c>
      <c r="B5" s="3" t="inlineStr">
        <is>
          <t>Known ids</t>
        </is>
      </c>
      <c r="C5" s="3" t="inlineStr">
        <is>
          <t>A1</t>
        </is>
      </c>
      <c r="D5" s="3" t="inlineStr">
        <is>
          <t>1. POST two persona ids</t>
        </is>
      </c>
      <c r="E5" s="3" t="inlineStr">
        <is>
          <t>200; map keyed by id with exactly name, email, image</t>
        </is>
      </c>
      <c r="F5" s="3" t="inlineStr">
        <is>
          <t>P0</t>
        </is>
      </c>
      <c r="G5" s="3" t="n"/>
      <c r="H5" s="3" t="inlineStr">
        <is>
          <t>CA-12</t>
        </is>
      </c>
      <c r="I5" s="3" t="inlineStr">
        <is>
          <t>tests/api/clerk-apis.spec.ts</t>
        </is>
      </c>
    </row>
    <row r="6">
      <c r="A6" s="3" t="inlineStr">
        <is>
          <t>CLKA-LKP-005</t>
        </is>
      </c>
      <c r="B6" s="3" t="inlineStr">
        <is>
          <t>Unknown ids</t>
        </is>
      </c>
      <c r="C6" s="3" t="inlineStr">
        <is>
          <t>A1</t>
        </is>
      </c>
      <c r="D6" s="3" t="inlineStr">
        <is>
          <t>1. POST an unknown id</t>
        </is>
      </c>
      <c r="E6" s="3" t="inlineStr">
        <is>
          <t>200; empty map</t>
        </is>
      </c>
      <c r="F6" s="3" t="inlineStr">
        <is>
          <t>P1</t>
        </is>
      </c>
      <c r="G6" s="3" t="n"/>
      <c r="H6" s="3" t="inlineStr">
        <is>
          <t>CA-12</t>
        </is>
      </c>
      <c r="I6" s="3" t="inlineStr">
        <is>
          <t>tests/api/clerk-apis.spec.ts</t>
        </is>
      </c>
    </row>
    <row r="7">
      <c r="A7" s="3" t="inlineStr">
        <is>
          <t>CLKA-LKP-006</t>
        </is>
      </c>
      <c r="B7" s="3" t="inlineStr">
        <is>
          <t>Mixed ids</t>
        </is>
      </c>
      <c r="C7" s="3" t="inlineStr">
        <is>
          <t>A1</t>
        </is>
      </c>
      <c r="D7" s="3" t="inlineStr">
        <is>
          <t>1. POST two known and one unknown</t>
        </is>
      </c>
      <c r="E7" s="3" t="inlineStr">
        <is>
          <t>Only the known ones are returned</t>
        </is>
      </c>
      <c r="F7" s="3" t="inlineStr">
        <is>
          <t>P1</t>
        </is>
      </c>
      <c r="G7" s="3" t="n"/>
      <c r="H7" s="3" t="inlineStr">
        <is>
          <t>CA-12</t>
        </is>
      </c>
      <c r="I7" s="3" t="inlineStr">
        <is>
          <t>tests/api/clerk-apis.spec.ts</t>
        </is>
      </c>
    </row>
    <row r="8">
      <c r="A8" s="3" t="inlineStr">
        <is>
          <t>CLKA-LKP-007</t>
        </is>
      </c>
      <c r="B8" s="3" t="inlineStr">
        <is>
          <t>Ids that are not text</t>
        </is>
      </c>
      <c r="C8" s="3" t="inlineStr">
        <is>
          <t>A1</t>
        </is>
      </c>
      <c r="D8" s="3" t="inlineStr">
        <is>
          <t>1. POST [123, {a:1}]</t>
        </is>
      </c>
      <c r="E8" s="3" t="inlineStr">
        <is>
          <t>4xx or 200, not 500</t>
        </is>
      </c>
      <c r="F8" s="3" t="inlineStr">
        <is>
          <t>P2</t>
        </is>
      </c>
      <c r="G8" s="3" t="n"/>
      <c r="H8" s="3" t="inlineStr">
        <is>
          <t>CA-13</t>
        </is>
      </c>
      <c r="I8" s="3" t="inlineStr">
        <is>
          <t>tests/api/clerk-apis.spec.ts</t>
        </is>
      </c>
    </row>
    <row r="9">
      <c r="A9" s="3" t="inlineStr">
        <is>
          <t>CLKA-LKP-008</t>
        </is>
      </c>
      <c r="B9" s="3" t="inlineStr">
        <is>
          <t>Very long list</t>
        </is>
      </c>
      <c r="C9" s="3" t="inlineStr">
        <is>
          <t>A1</t>
        </is>
      </c>
      <c r="D9" s="3" t="inlineStr">
        <is>
          <t>1. POST 600 ids</t>
        </is>
      </c>
      <c r="E9" s="3" t="inlineStr">
        <is>
          <t>4xx or 200, not 500</t>
        </is>
      </c>
      <c r="F9" s="3" t="inlineStr">
        <is>
          <t>P2</t>
        </is>
      </c>
      <c r="G9" s="3" t="n"/>
      <c r="H9" s="3" t="inlineStr">
        <is>
          <t>CA-13</t>
        </is>
      </c>
      <c r="I9" s="3" t="inlineStr">
        <is>
          <t>tests/api/clerk-apis.spec.ts</t>
        </is>
      </c>
    </row>
    <row r="10">
      <c r="A10" s="3" t="inlineStr">
        <is>
          <t>CLKA-LKP-009</t>
        </is>
      </c>
      <c r="B10" s="3" t="inlineStr">
        <is>
          <t>GET</t>
        </is>
      </c>
      <c r="C10" s="3" t="inlineStr">
        <is>
          <t>A1</t>
        </is>
      </c>
      <c r="D10" s="3" t="inlineStr">
        <is>
          <t>1. GET /api/get-clerk-users</t>
        </is>
      </c>
      <c r="E10" s="3" t="inlineStr">
        <is>
          <t>405</t>
        </is>
      </c>
      <c r="F10" s="3" t="inlineStr">
        <is>
          <t>P2</t>
        </is>
      </c>
      <c r="G10" s="3" t="n"/>
      <c r="H10" s="3" t="inlineStr">
        <is>
          <t>CA-11</t>
        </is>
      </c>
      <c r="I10" s="3" t="inlineStr">
        <is>
          <t>tests/api/clerk-apis.spec.ts</t>
        </is>
      </c>
    </row>
    <row r="11">
      <c r="F11" s="4" t="inlineStr">
        <is>
          <t>Coverage</t>
        </is>
      </c>
      <c r="G11" s="6">
        <f>IF(COUNTA(A2:A10)=0,0,(COUNTIF(G2:G10,"Passed")+COUNTIF(G2:G10,"Failed")+COUNTIF(G2:G10,"NA"))/COUNTA(A2:A10))</f>
        <v/>
      </c>
    </row>
  </sheetData>
  <conditionalFormatting sqref="G2:G10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10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8" customWidth="1" min="4" max="4"/>
  </cols>
  <sheetData>
    <row r="1">
      <c r="A1" s="4" t="inlineStr">
        <is>
          <t>Requirement</t>
        </is>
      </c>
      <c r="B1" s="4" t="inlineStr">
        <is>
          <t>Coverage Rate</t>
        </is>
      </c>
    </row>
    <row r="2">
      <c r="A2" t="inlineStr">
        <is>
          <t>FR1-FR5 — Clerk Webhook</t>
        </is>
      </c>
      <c r="B2" s="6">
        <f>'Clerk Webhook'!G13</f>
        <v/>
      </c>
      <c r="D2" s="4" t="inlineStr">
        <is>
          <t>Status</t>
        </is>
      </c>
      <c r="E2" s="4" t="inlineStr">
        <is>
          <t>Count</t>
        </is>
      </c>
    </row>
    <row r="3">
      <c r="A3" t="inlineStr">
        <is>
          <t>FR6 — User Directory API</t>
        </is>
      </c>
      <c r="B3" s="6">
        <f>'User Directory API'!G8</f>
        <v/>
      </c>
      <c r="D3" t="inlineStr">
        <is>
          <t>Passed</t>
        </is>
      </c>
      <c r="E3">
        <f>COUNTIF('Clerk Webhook'!G2:G12, "Passed") + COUNTIF('User Directory API'!G2:G7, "Passed") + COUNTIF('User Lookup API'!G2:G10, "Passed")</f>
        <v/>
      </c>
    </row>
    <row r="4">
      <c r="A4" t="inlineStr">
        <is>
          <t>FR7 — User Lookup API</t>
        </is>
      </c>
      <c r="B4" s="6">
        <f>'User Lookup API'!G11</f>
        <v/>
      </c>
      <c r="D4" t="inlineStr">
        <is>
          <t>Failed</t>
        </is>
      </c>
      <c r="E4">
        <f>COUNTIF('Clerk Webhook'!G2:G12, "Failed") + COUNTIF('User Directory API'!G2:G7, "Failed") + COUNTIF('User Lookup API'!G2:G10, "Failed")</f>
        <v/>
      </c>
    </row>
    <row r="5">
      <c r="D5" t="inlineStr">
        <is>
          <t>Not Applicable</t>
        </is>
      </c>
      <c r="E5">
        <f>COUNTIF('Clerk Webhook'!G2:G12, "NA") + COUNTIF('User Directory API'!G2:G7, "NA") + COUNTIF('User Lookup API'!G2:G10, "NA")</f>
        <v/>
      </c>
    </row>
    <row r="6">
      <c r="D6" t="inlineStr">
        <is>
          <t>Not Tested Yet</t>
        </is>
      </c>
      <c r="E6">
        <f>E7-E3-E4-E5</f>
        <v/>
      </c>
    </row>
    <row r="7">
      <c r="D7" t="inlineStr">
        <is>
          <t>Total Test Cases</t>
        </is>
      </c>
      <c r="E7">
        <f>COUNTA('Clerk Webhook'!A2:A12) + COUNTA('User Directory API'!A2:A7) + COUNTA('User Lookup API'!A2:A10)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2026-10-30T16:51:22Z</dcterms:created>
  <dcterms:modified xsi:type="dcterms:W3CDTF">2026-10-30T16:51:22Z</dcterms:modified>
</cp:coreProperties>
</file>